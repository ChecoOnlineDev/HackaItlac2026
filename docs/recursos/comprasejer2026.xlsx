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88c5f93a4fd2f8/Documents/"/>
    </mc:Choice>
  </mc:AlternateContent>
  <xr:revisionPtr revIDLastSave="0" documentId="8_{34027D41-BB54-40CF-A473-86E374AD54D5}" xr6:coauthVersionLast="47" xr6:coauthVersionMax="47" xr10:uidLastSave="{00000000-0000-0000-0000-000000000000}"/>
  <bookViews>
    <workbookView xWindow="-120" yWindow="-120" windowWidth="24240" windowHeight="13020" xr2:uid="{47523072-34CB-41E5-9106-27BE74AF35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51" i="1" l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<sst xmlns="http://schemas.openxmlformats.org/spreadsheetml/2006/main" count="705" uniqueCount="444">
  <si>
    <t>Clave / Código</t>
  </si>
  <si>
    <t>Descripción del artículo</t>
  </si>
  <si>
    <t>Cantidad total acumulada</t>
  </si>
  <si>
    <t>Precio unitario promedio</t>
  </si>
  <si>
    <t>Importe total neto agrupado</t>
  </si>
  <si>
    <t>31162800</t>
  </si>
  <si>
    <t>LLAVE MIXTA 60MM URREA</t>
  </si>
  <si>
    <t>27112838</t>
  </si>
  <si>
    <t>DISCO DE CORTE 9" AUSTROMEX</t>
  </si>
  <si>
    <t>27112838 / 31191506</t>
  </si>
  <si>
    <t>DISCO DE CORTE 4 1/2 AUSTROMEX</t>
  </si>
  <si>
    <t>PIJA PTA. DE BROCA 1/4 X 1 ANCLO 317096</t>
  </si>
  <si>
    <t>27112828</t>
  </si>
  <si>
    <t>NUDO DE 3/4 DE IMPACTO URREA</t>
  </si>
  <si>
    <t>27111713</t>
  </si>
  <si>
    <t>LLAVE MIXTA 55MM URREA</t>
  </si>
  <si>
    <t>27111700</t>
  </si>
  <si>
    <t>LLAVE DE GOLPE DE 60MM URREA</t>
  </si>
  <si>
    <t>SILICON ROJO ALTA TEMPERATURA FORTE 130097</t>
  </si>
  <si>
    <t>CUERDA DE RAPEL #12</t>
  </si>
  <si>
    <t>LLAVE DE GOLPE DE 55M URREA</t>
  </si>
  <si>
    <t>NUDO DE 1" DE IMPACTO URREA</t>
  </si>
  <si>
    <t>LLAVE MIXTA DE 1" 5/8 URREA</t>
  </si>
  <si>
    <t>26101400</t>
  </si>
  <si>
    <t>CARBON BOSCH REFACC</t>
  </si>
  <si>
    <t>23101502</t>
  </si>
  <si>
    <t>TALADRO DE 1/2 REVERSIBLE BOSCH</t>
  </si>
  <si>
    <t>24101507</t>
  </si>
  <si>
    <t>CARRETILLA TRUPER</t>
  </si>
  <si>
    <t>31261601</t>
  </si>
  <si>
    <t>LONA 6 X 12 TRUPER</t>
  </si>
  <si>
    <t>NIVEL DE 9" TORPEDO TRUPER 17054</t>
  </si>
  <si>
    <t>LONA 4 X 6 TRUPER</t>
  </si>
  <si>
    <t>PIJA PTA. DE BROCA 1/4 X 2 ANCLO 317157</t>
  </si>
  <si>
    <t>LLAVE MIXTA DE 7/8 TRUPER</t>
  </si>
  <si>
    <t>TALADRO 700 W DEWALT</t>
  </si>
  <si>
    <t>LONA 6 X 6 TRUPER</t>
  </si>
  <si>
    <t>23271700</t>
  </si>
  <si>
    <t>PORTA ELECTRODO 500A INFRA</t>
  </si>
  <si>
    <t>30191501</t>
  </si>
  <si>
    <t>ESCALERA DE 6 TRUPER</t>
  </si>
  <si>
    <t>TALABRO DEWALT</t>
  </si>
  <si>
    <t>MATRACA 1/2 TRUPER 102401</t>
  </si>
  <si>
    <t>27112700</t>
  </si>
  <si>
    <t>DADO DE 1/2 X 1-1/16 LARGO URREA</t>
  </si>
  <si>
    <t>DADO DE 1 X 65 MM CORTO DE IMPACTO URREA</t>
  </si>
  <si>
    <t>LONA 4 X 5 TRUPER</t>
  </si>
  <si>
    <t>PIJA PTA. DE BROCA 1/4 X 3/4 ANCLO 317249</t>
  </si>
  <si>
    <t>CARRETILLA CUERVO</t>
  </si>
  <si>
    <t>CARDA DE COPA MULTIROSCA TRUPER 100851</t>
  </si>
  <si>
    <t>ARRANCADOR ECOM 104 110022</t>
  </si>
  <si>
    <t>MATRACA DE 1/2 TRUPER 13410</t>
  </si>
  <si>
    <t>LONA 5 X 6 TRUPER</t>
  </si>
  <si>
    <t>31191506</t>
  </si>
  <si>
    <t>DISCO DE DESBASTE DE 4 1/2" AUSTROMEX</t>
  </si>
  <si>
    <t>ROTOMARTILLO DE 1/2 BOSCH</t>
  </si>
  <si>
    <t>NUDO DE 1/2 DE IMPACTO URREA</t>
  </si>
  <si>
    <t>RAFIA DE KILO FIERO 44492</t>
  </si>
  <si>
    <t>27112105</t>
  </si>
  <si>
    <t>PINZA DE TIERRA 500A INFRA</t>
  </si>
  <si>
    <t>40142000</t>
  </si>
  <si>
    <t>MANGUERA DE 1/2 X 25 TRS TRUPER</t>
  </si>
  <si>
    <t>LONA 4 X 4 TRUPER</t>
  </si>
  <si>
    <t>MARTILLO DE UÑA RECTA TRUPER 19997</t>
  </si>
  <si>
    <t>27111515</t>
  </si>
  <si>
    <t>RUEDA FLAP G-120 TENAZIT</t>
  </si>
  <si>
    <t>27111801</t>
  </si>
  <si>
    <t>FLEXOMETRO 8 M PRETUL</t>
  </si>
  <si>
    <t>JUEGO DE COPLES PARA AIRE TRUPER 18075</t>
  </si>
  <si>
    <t>47131600</t>
  </si>
  <si>
    <t>FIBRA VERDE 3M P-96</t>
  </si>
  <si>
    <t>TALADRO DE 1/2 TRUPER</t>
  </si>
  <si>
    <t>30181500</t>
  </si>
  <si>
    <t>MEZCLADORA PARA LAVABO FOSET</t>
  </si>
  <si>
    <t>27111803</t>
  </si>
  <si>
    <t>ESCUADRA DE CARPINTERO 12" TRUPER</t>
  </si>
  <si>
    <t>DADO DE 3/4 X 15/16 CORTO DE IMPACTO URREA</t>
  </si>
  <si>
    <t>44121708</t>
  </si>
  <si>
    <t>MARCADOR BLANCO DOGO TOOLS</t>
  </si>
  <si>
    <t>DADO DE 1/2 X 1 1/16 IMPACTO LARGO URREA</t>
  </si>
  <si>
    <t>31191500</t>
  </si>
  <si>
    <t>DISCO LAMINADO 4-1/2 G-80 HECORT</t>
  </si>
  <si>
    <t>REPUESTO PARA CUTTER TRUPER 16956</t>
  </si>
  <si>
    <t>PALA CUADRADA TRUPER 17161</t>
  </si>
  <si>
    <t>PINZA DE PRESION 10R TRUPER 17424</t>
  </si>
  <si>
    <t>LLAVE MIXTA DE 1" 5/8 TRUPER 15631</t>
  </si>
  <si>
    <t>MARCADOR DE METAL DOGO TOOLS</t>
  </si>
  <si>
    <t>27112503</t>
  </si>
  <si>
    <t>DOBLADOR DE TUBO 1" SURTEK</t>
  </si>
  <si>
    <t>BARRETA DE PUNTA DE 1" X 175 CM TRUPER 10762</t>
  </si>
  <si>
    <t>CABO PARA MARRO 2-3-4 TRUPER 15906</t>
  </si>
  <si>
    <t>DADO DE 1/2 X 1- 1/16 CORTO URREA</t>
  </si>
  <si>
    <t>CANDADO HERMEX 50 X 43421</t>
  </si>
  <si>
    <t>PINZA DE ELECTRICISTA 9" TRUPER 12351</t>
  </si>
  <si>
    <t>ENGRAPADORA DE PISTOLA ET-50 TRUPER 17964</t>
  </si>
  <si>
    <t>BARRETA DE PUNTA 1 X 150 CM TRUPER 10756</t>
  </si>
  <si>
    <t>ESPUMA EXPANSIVA 750 MIL PRETUL 27009</t>
  </si>
  <si>
    <t>MANERAL TIPO GARROTE DE 3/4 TRUPER</t>
  </si>
  <si>
    <t>NIVEL TORPEDO SURTEK 122110</t>
  </si>
  <si>
    <t>DADO DE 3/4 X 1-5/16 DE IMPACTO URREA</t>
  </si>
  <si>
    <t>PINZA DE ELECTRICISTA 9" TULMEX</t>
  </si>
  <si>
    <t>27111500</t>
  </si>
  <si>
    <t>SEGUETA LENOX ESTANDAR</t>
  </si>
  <si>
    <t>LAMPARA TRUPER 101381</t>
  </si>
  <si>
    <t>PINTURA NEGRO BRILLANTE TRUPER 19031</t>
  </si>
  <si>
    <t>PINZA DE ELECTRICISTA DE 9 TRUPER 101963</t>
  </si>
  <si>
    <t>CAVADOR DE HOYOS TRUPER 11973</t>
  </si>
  <si>
    <t>31162906</t>
  </si>
  <si>
    <t>ABRAZADERA SIN FIN AB-10 FIERO</t>
  </si>
  <si>
    <t>ABRAZADERA SIN FIN AB-06 MINI FIERO</t>
  </si>
  <si>
    <t>31201500</t>
  </si>
  <si>
    <t>CINTA MASKING DE 2" VERDE SCOTCH SURTIDORA</t>
  </si>
  <si>
    <t>PINZA DE ELECTRICISTA 9" TRUPER 17328</t>
  </si>
  <si>
    <t>PINZA DE PRESION 10" VISE-GRIP IRWIN 10R</t>
  </si>
  <si>
    <t>PINZA DE HOJALATERA 8" TRUPER 17425</t>
  </si>
  <si>
    <t>27112841</t>
  </si>
  <si>
    <t>BROCA PARA METAL 1/2 TRUPER</t>
  </si>
  <si>
    <t>12141901</t>
  </si>
  <si>
    <t>PASTILLA DE CLORO</t>
  </si>
  <si>
    <t>CARDA PLANA 4 X 14 MM EASY-CUT 2895</t>
  </si>
  <si>
    <t>PINTURA PLATA SILVER TRUPER 19059</t>
  </si>
  <si>
    <t>CUTTER TRUPER 16950</t>
  </si>
  <si>
    <t>27112502</t>
  </si>
  <si>
    <t>MANERAL PARA DOBLADORA SURTEK</t>
  </si>
  <si>
    <t>PINZA DE ELECTRICISTA 9" TRUPER 17305</t>
  </si>
  <si>
    <t>27112000</t>
  </si>
  <si>
    <t>TALACHO PICO TRUPER</t>
  </si>
  <si>
    <t>JUEGO DE DESARMADORES 8 PRETUL 20213</t>
  </si>
  <si>
    <t>DOBLADOR DE TUBO 3/4 SURTEK</t>
  </si>
  <si>
    <t>31162000</t>
  </si>
  <si>
    <t>CLAVO PARA MADERA DE 2 1/2 FIERO 44153</t>
  </si>
  <si>
    <t>SILICON NEGRO ALTA TEMPERATURA FORTE 130103</t>
  </si>
  <si>
    <t>FLEXOMETRO 6 PRETUL</t>
  </si>
  <si>
    <t>DISCO LAMINADO 4-1/2 G-60 HECORT</t>
  </si>
  <si>
    <t>ZAPAPICO 5 LB. TRUPER</t>
  </si>
  <si>
    <t>CINTA MASKING MORADO DE 2" TUK</t>
  </si>
  <si>
    <t>AFLOJATODO WT-400 TRUPER 13471</t>
  </si>
  <si>
    <t>LLAVE DE 9/16 MIXTA TRUPER</t>
  </si>
  <si>
    <t>HACHA CON MANGO DE 3 LB TRUPER 14968</t>
  </si>
  <si>
    <t>VANDEROLA VIAL TRUPER</t>
  </si>
  <si>
    <t>RASPADOR DE 7" TRUPER 18652</t>
  </si>
  <si>
    <t>27113201</t>
  </si>
  <si>
    <t>ADAPTADOR DE 3/8 URREA</t>
  </si>
  <si>
    <t>46171501</t>
  </si>
  <si>
    <t>CANDADO PHILLIPS 112 GL</t>
  </si>
  <si>
    <t>RUEDA FLAP G-60 TENAZIT</t>
  </si>
  <si>
    <t>RUEDA FLAP G-80 TENAZIT</t>
  </si>
  <si>
    <t>23271812</t>
  </si>
  <si>
    <t>SOLDADURA 60-13-3/32 INFRA DE KILO</t>
  </si>
  <si>
    <t>ARAÑA METALICA DE 22 D. NARANJA TRUPER 14328</t>
  </si>
  <si>
    <t>CINCHO DE PLASTICO 150MM NEGRO VOLTECK 44323</t>
  </si>
  <si>
    <t>DADO DE 1/2 X 9/16 LARGO URREA</t>
  </si>
  <si>
    <t>26121540</t>
  </si>
  <si>
    <t>ALAMBRE GALVANIZADO NO. 16 FIERO 44467</t>
  </si>
  <si>
    <t>SOLDADURA 6013 1/8 PUNTO NARANJA INFRA 1 KL</t>
  </si>
  <si>
    <t>CINTA DE AISLAR 3 M 165</t>
  </si>
  <si>
    <t>30191608</t>
  </si>
  <si>
    <t>MENSULA REFORZADA 8 X 12 BLANCA FIERO</t>
  </si>
  <si>
    <t>AFLOJATODO SURTEK WS400</t>
  </si>
  <si>
    <t>CARDA TRENZADA 100853 TRUPER</t>
  </si>
  <si>
    <t>CHAPA DE PERILLA L.A. PHILLIPS 81146</t>
  </si>
  <si>
    <t>PINTURA AMARILLO COLONIAL TRUPER 19042</t>
  </si>
  <si>
    <t>JUEGO DE BROCAS 11PZ TRUPER 11335</t>
  </si>
  <si>
    <t>PINTURA ALUMINIO ALTA TEM. TRUPER 18071</t>
  </si>
  <si>
    <t>LUBRICANTE PARA CADENAS TRUPER 101975</t>
  </si>
  <si>
    <t>LINTERNA DE MINERO RE PRETUL 29088</t>
  </si>
  <si>
    <t>MARTILLO 20 RAYADO TRUPER 16663</t>
  </si>
  <si>
    <t>ESCOBA PARA CAMION GRIS</t>
  </si>
  <si>
    <t>PILA AAA VOLTECK 46316</t>
  </si>
  <si>
    <t>27111919</t>
  </si>
  <si>
    <t>LIMA REDONDA DE 10" NICHOLSON</t>
  </si>
  <si>
    <t>FLEXOMETRO 5 M PRETUL</t>
  </si>
  <si>
    <t>LIMA REDONDA DE 12" NICHOLSON</t>
  </si>
  <si>
    <t>27112005</t>
  </si>
  <si>
    <t>HACHA CON MANGO CHICO TRUPER 14954</t>
  </si>
  <si>
    <t>BROCHA MR PANCHO 2 1/2 193131</t>
  </si>
  <si>
    <t>CERRADURA AUXILIAR PHILLIPS 81215</t>
  </si>
  <si>
    <t>FOCO 24 W ESPIRAL 4PZ VOLTECK 46826</t>
  </si>
  <si>
    <t>BARRETA DE UÑAS 3/4 X90 CM TRUPER 10862</t>
  </si>
  <si>
    <t>BROCHA MR. PANCHO 3" 193148</t>
  </si>
  <si>
    <t>FOCO 13W VOLTECK 48504</t>
  </si>
  <si>
    <t>ACIDO MURIATICO 045</t>
  </si>
  <si>
    <t>TRAPIADOR DE MICROFIBRA</t>
  </si>
  <si>
    <t>CANDADO PARA BICICLETA HERMEX 43922</t>
  </si>
  <si>
    <t>BROCHA MR. PANCHO 2" 193124</t>
  </si>
  <si>
    <t>PASADOR DE 4" HERMEX 43726 XXXXXXXXXXX</t>
  </si>
  <si>
    <t>SOLDADURA 60-13-1/8 INFRA DE KILO</t>
  </si>
  <si>
    <t>PILA RECARGABLE AAA VOLTECK 47205</t>
  </si>
  <si>
    <t>MULTICONTACTO CON USB VOLTECK 46089</t>
  </si>
  <si>
    <t>ABRAZADERA SIN FIN AB-12 FIERO</t>
  </si>
  <si>
    <t>SILICON GRIS ALTA TEMPERATURA FORTE 134699</t>
  </si>
  <si>
    <t>CUTTER STANLEY 10-175</t>
  </si>
  <si>
    <t>NAVAJA PARA ELECTRICISTA TRUPER 18539</t>
  </si>
  <si>
    <t>TIJERA PARA PODA 17" TRUPER 18397</t>
  </si>
  <si>
    <t>DISCO LAMINADO 4-1/2 G-120 HECORT</t>
  </si>
  <si>
    <t>CINTA DE AISLAR 3M 41494</t>
  </si>
  <si>
    <t>FOCO 9W TRIPLES VOLTECK 46843</t>
  </si>
  <si>
    <t>MARTELINA TRUPER 19815</t>
  </si>
  <si>
    <t>ACEITE PARA COMPRESOR SAE 30 TRUPER 102533</t>
  </si>
  <si>
    <t>ACEITE ATF PARA TRANSMISIÓN LUBCO</t>
  </si>
  <si>
    <t>BARRETA DE UÑA 3/4 X60 CM TRUPER 10856</t>
  </si>
  <si>
    <t>PILA RECARGABLE AAA VOLTECK 47201</t>
  </si>
  <si>
    <t>CUCHARA PARA ALBAÑIL DE 10" PRETUL 21054</t>
  </si>
  <si>
    <t>PILA AA VOLTECK 46315</t>
  </si>
  <si>
    <t>11101502</t>
  </si>
  <si>
    <t>DISCO DE LIJA BELCRO GRANO 60 TENAZIT</t>
  </si>
  <si>
    <t>RECOGEDOR</t>
  </si>
  <si>
    <t>MULTICONTACTO NARANJA VOLTECK 46804</t>
  </si>
  <si>
    <t>AZADON CHICO TRUPER 10553</t>
  </si>
  <si>
    <t>BOMBA PRETUL 21690</t>
  </si>
  <si>
    <t>MANGUERA DE 3/8 NIVEL TRUPER</t>
  </si>
  <si>
    <t>ATOMIZADOR 1/2L KLINTEK 55937 TRUPER</t>
  </si>
  <si>
    <t>JUEGO DE COPLE Y CONECTORES TRUPER 19081</t>
  </si>
  <si>
    <t>PUNTA DE 3/8 PARA LAMINA TRUPER</t>
  </si>
  <si>
    <t>ARAÑA METALICA DE 18 D. NEGRO TRUPER 14326</t>
  </si>
  <si>
    <t>24111500</t>
  </si>
  <si>
    <t>BOLSA PARA BASURA CHICA</t>
  </si>
  <si>
    <t>CINCHO DE PLASTICO 350MM NEGRO VOLTECK 44329</t>
  </si>
  <si>
    <t>27112100</t>
  </si>
  <si>
    <t>TAQUETE EXPANCIVO DE 3/8 FIERO 47339</t>
  </si>
  <si>
    <t>LLAVE DE NARIZ 1/2 FOSET</t>
  </si>
  <si>
    <t>INFLADOR DE LLANTAS TRUPER 10940</t>
  </si>
  <si>
    <t>PINTURA GRIS PRIMARIO TRUPER 19056</t>
  </si>
  <si>
    <t>PINTURA BLANCO BRILLANTE TRUPER 19032</t>
  </si>
  <si>
    <t>BROCHA MR. PANCHO 4" 193155</t>
  </si>
  <si>
    <t>DISCO DE CORTE 4-1/2 HECORT</t>
  </si>
  <si>
    <t>CUTTER TRUPER 16977</t>
  </si>
  <si>
    <t>BROCHA MR. PANCHO 1" 193087</t>
  </si>
  <si>
    <t>CINCHO DE PLASTICO 20 CM NEGRO VOLTECK 44324</t>
  </si>
  <si>
    <t>DISCO DE LIJA BELCRO GRANO 220 TENAZIT</t>
  </si>
  <si>
    <t>PIJA DE 8 X 2 1/2 NEGRA FIERO</t>
  </si>
  <si>
    <t>ARAÑA PLASTICO DE 22 DIENTES TRUPER 19786</t>
  </si>
  <si>
    <t>PLASTIACERO 5 MINUTOS DEVCON R5-45</t>
  </si>
  <si>
    <t>SOLDADURA PUNTO NARANJA 6013 3/32 INFRA KL</t>
  </si>
  <si>
    <t>PORTA LAMPARA BTICINO 636729</t>
  </si>
  <si>
    <t>BROCA DE 3/8 X 6 SDS BOSCH 836674</t>
  </si>
  <si>
    <t>MANGUERA DE 1/2 VERDE TRUPER</t>
  </si>
  <si>
    <t>ESPUMA EXPANSIVA 300 MIL PRETUL 27007</t>
  </si>
  <si>
    <t>SILICÓN GENERAL PENSILVANIA</t>
  </si>
  <si>
    <t>PLAGAFIN 492341</t>
  </si>
  <si>
    <t>JUEGO DE 7 PUNTAS TRUPER 17796</t>
  </si>
  <si>
    <t>ESCOBA PARA LOSETA</t>
  </si>
  <si>
    <t>LLAVE DE MATRACA 9 MM TRUPER</t>
  </si>
  <si>
    <t>LLAVE DE MATRACA DE 8MM TRUPER</t>
  </si>
  <si>
    <t>DISCO DE LIJA BELCRO GRANO 150 TENAZIT</t>
  </si>
  <si>
    <t>CHALUPA DE 1/2 TIPO FS VOLTECK 46985</t>
  </si>
  <si>
    <t>PEGAMENTO C-PVC TUBO TANGIT 50 ML 420448</t>
  </si>
  <si>
    <t>BROCHA PELO DE CAMELLO 3" EXITO 505656</t>
  </si>
  <si>
    <t>LLANA M DE PLASTICO TRUPER 15412</t>
  </si>
  <si>
    <t>LONA 1.5X 2 TRUPER</t>
  </si>
  <si>
    <t>ARAÑA PRETUL</t>
  </si>
  <si>
    <t>CANDADO FANAL</t>
  </si>
  <si>
    <t>SILICON TRANS. DE TUBO TF SURTIDORA 7-A</t>
  </si>
  <si>
    <t>MULTICONTACTO DE 4 ENTRADAS VOLTECK 47181</t>
  </si>
  <si>
    <t>MANGUERA DE 1/ 2X 3M VERDE TRUPER</t>
  </si>
  <si>
    <t>SILICON NEGRO DE TUBO TF SURTIDORA 7-D</t>
  </si>
  <si>
    <t>DADO DE 1/2 X 20M ASTRIADO URREA</t>
  </si>
  <si>
    <t>NO MAS CLAVOS 113G 004946</t>
  </si>
  <si>
    <t>TIJERA DE ESTILISTA TRUPER 18491</t>
  </si>
  <si>
    <t>CUTTER TRUPER 16974</t>
  </si>
  <si>
    <t>SILICON TRANSPARENTE SIKA 004084</t>
  </si>
  <si>
    <t>ESCOBA</t>
  </si>
  <si>
    <t>PIJA DE 8 X3 NEGRO FIERO</t>
  </si>
  <si>
    <t>DADO DE 1/2 X 9/16 LARGO SURTEK</t>
  </si>
  <si>
    <t>NIPLE 3/8 FOSET</t>
  </si>
  <si>
    <t>PINTURA NARANJA TRUPER 19037</t>
  </si>
  <si>
    <t>PINTURA TRANSPARENTE TRUPER 19036</t>
  </si>
  <si>
    <t>CINTA TEFLON DE 1/2 TRUPER</t>
  </si>
  <si>
    <t>CINTA CANELA DE 48 X150M TRUPER 12556</t>
  </si>
  <si>
    <t>BROCA DE 1/4 X 6 SDS BOSCH 836665</t>
  </si>
  <si>
    <t>FOCO DE BOLA LED VOLTECK 46860</t>
  </si>
  <si>
    <t>RODILLO PARA PINTAR AMARILLO TRUPER 13877</t>
  </si>
  <si>
    <t>RODILLO P/ PINTAR VERDE TRUPER13876</t>
  </si>
  <si>
    <t>SOLDADURA 60-13-3/32 INFRA DE 1/2 KILO</t>
  </si>
  <si>
    <t>BROCA SDS 3/8 X 6 TRUPER 11272</t>
  </si>
  <si>
    <t>LIQUIDO PARA FRENOS BARDAHL 350ML 551353</t>
  </si>
  <si>
    <t>HOJA DE LIJA DE AGUA G-150 FANDELI</t>
  </si>
  <si>
    <t>KOLA LOKA GOTERO 614001</t>
  </si>
  <si>
    <t>REPUESTO DE RASPADOR TRUPER 16952</t>
  </si>
  <si>
    <t>CINCHO DE PLASTICO 500MM NEGRO VOLTECK 44331</t>
  </si>
  <si>
    <t>31161500</t>
  </si>
  <si>
    <t>TORNILLO 1/4 X 1 1/2 FIERO</t>
  </si>
  <si>
    <t>SILICON TRANSPARENTE 85 G TRUPER 17562</t>
  </si>
  <si>
    <t>EXTENSIÓN DE 3 M VOLTECK 40152</t>
  </si>
  <si>
    <t>CHAROLA PARA RODILLO TRUPER 19211</t>
  </si>
  <si>
    <t>SILICON TRANSPARENTE TRUPER 18567</t>
  </si>
  <si>
    <t>TAQUETE DE 3/8 PLASTICO ELPRO</t>
  </si>
  <si>
    <t>CEPILLO DE ALAMBRE TRUPER 11559</t>
  </si>
  <si>
    <t>30102400</t>
  </si>
  <si>
    <t>ESPARRAGO DE 1/4 FIERO 42411</t>
  </si>
  <si>
    <t>HOJA DE LIJA DE ESMERIL G-80 FANDELI</t>
  </si>
  <si>
    <t>REPUESTO PARA CUTTER TRUPER 16965</t>
  </si>
  <si>
    <t>27111543</t>
  </si>
  <si>
    <t>BROCA PARA CONCRETO 1/4 X 4 TRUPER</t>
  </si>
  <si>
    <t>PLASTILOKA DE 40G. SURTIDORA 631008</t>
  </si>
  <si>
    <t>JUEGO DE LLAVES ALLEN ETD. PRETUL 21850</t>
  </si>
  <si>
    <t>JUEGO DE LLAVES ALLEN MM PRETUL 21851</t>
  </si>
  <si>
    <t>PLASTILOKA DE 20G. SURTIDORA 630001</t>
  </si>
  <si>
    <t>PIJA PUNTA DE BROCA 8 X 1/2 FIERO</t>
  </si>
  <si>
    <t>CINTA DOBLE CARA PRETUL 20005</t>
  </si>
  <si>
    <t>FOCO DE LED VOLTECK 46856</t>
  </si>
  <si>
    <t>TAQUETE EXPANCIVO DE1/4 FIERO 47223</t>
  </si>
  <si>
    <t>PUNTA DE CRUZ DE 3" TRUPER</t>
  </si>
  <si>
    <t>BROCHA MR. PANCHO 1 1/2 193117</t>
  </si>
  <si>
    <t>CINCHO DE PLASTICO 100MM NEGRO VOLTECK 44320</t>
  </si>
  <si>
    <t>HOJA DE LIJA DE ESMERIL G-50 GRUESA FANDELI</t>
  </si>
  <si>
    <t>40171708</t>
  </si>
  <si>
    <t>NIPLE DE PVC 1" RIPOLL</t>
  </si>
  <si>
    <t>HOJA DE LIJA ROJO G-60 FANDELI</t>
  </si>
  <si>
    <t>39121330</t>
  </si>
  <si>
    <t>CHALUPA CUADRADA 4 X4</t>
  </si>
  <si>
    <t>31161700</t>
  </si>
  <si>
    <t>TUERCA DE 1/4 FIERO 44548</t>
  </si>
  <si>
    <t>PIJA PUNTA DE BROCA 8 X 1 1/2 FIERO</t>
  </si>
  <si>
    <t>40171709</t>
  </si>
  <si>
    <t>COPLE DE CPVC 1/2 FOSET</t>
  </si>
  <si>
    <t>CLAVO PARA MADERA DE 2" FIERO 44152</t>
  </si>
  <si>
    <t>30111600</t>
  </si>
  <si>
    <t>YESO</t>
  </si>
  <si>
    <t>ARMELLA 19 X 60 CERRADA FIERO 44372</t>
  </si>
  <si>
    <t>42211602</t>
  </si>
  <si>
    <t>CEPILLO SANITARIO TRUPER</t>
  </si>
  <si>
    <t>PIJA DE 8 X 2 NEGRO</t>
  </si>
  <si>
    <t>TAQUETE DE 1/4 PLASTICO</t>
  </si>
  <si>
    <t>27131501</t>
  </si>
  <si>
    <t>LLAVE DE IMPACTO 3/4" INGERSOLL</t>
  </si>
  <si>
    <t>40141736</t>
  </si>
  <si>
    <t>BOMBA ENGRAS. NEUMATICA 19K. LINMEX</t>
  </si>
  <si>
    <t>BOMBA NEUMATICA P/GRASA 13KG. LINMEX</t>
  </si>
  <si>
    <t>31201635</t>
  </si>
  <si>
    <t>SELLADOR DURETAN BLANCO 300 ML PENNS</t>
  </si>
  <si>
    <t>LLAVE COMBINADA PULIDA 1 5/8" URREA</t>
  </si>
  <si>
    <t>32141109</t>
  </si>
  <si>
    <t>PORTAELECTRODO 500 AMP. INFRA</t>
  </si>
  <si>
    <t>31133710</t>
  </si>
  <si>
    <t>SILICON A.TEMP. ROJO 300ML PENNSYLVANIA</t>
  </si>
  <si>
    <t>27111711</t>
  </si>
  <si>
    <t>MATRACA 1/2" CROMADA, URREA 5449</t>
  </si>
  <si>
    <t>LLANTA IMPONCHABLE C/EJE, TRUPER RN-X</t>
  </si>
  <si>
    <t>47131500</t>
  </si>
  <si>
    <t>TRAPO INDUST. D/COLOR 1/2 CAMISETA</t>
  </si>
  <si>
    <t>MATRACA CABEZA DE PERA 1/2", TRUPER</t>
  </si>
  <si>
    <t>30265701</t>
  </si>
  <si>
    <t>ALAMBRE RECOCIDO CAL.16, DEACERO</t>
  </si>
  <si>
    <t>CARRETILLA NAR. 65L. IMPONCH. TRUPER</t>
  </si>
  <si>
    <t>47121701</t>
  </si>
  <si>
    <t>BOLSA NEGRA JUMBO 90X120 CM.</t>
  </si>
  <si>
    <t>MARCADOR DE VALVULA AMARILLO, DOGO TOOLS</t>
  </si>
  <si>
    <t>PORTAELECTRODO 500 AMP. INFRA 5-PE-500</t>
  </si>
  <si>
    <t>LLAVE COMBINADA EXTRA L. 1 5/8", TRUPER</t>
  </si>
  <si>
    <t>27111750</t>
  </si>
  <si>
    <t>PINZA DE TIERRA 500 AMP. INFRA</t>
  </si>
  <si>
    <t>BOQUILLA D/CORTE ACET. #3 TIPO VICTOR</t>
  </si>
  <si>
    <t>31241601</t>
  </si>
  <si>
    <t>CRISTAL CLARO PARA CARETA</t>
  </si>
  <si>
    <t>23151901</t>
  </si>
  <si>
    <t>NAVAJA MULTI-USOS 6" CON 3 CUCHILLAS TRU</t>
  </si>
  <si>
    <t>CAVAHOYOS ATLAS MGO. MADERA 48", TRUPER</t>
  </si>
  <si>
    <t>27111907</t>
  </si>
  <si>
    <t>CARDA COPA TRENZ. GRUESO 5" MULTI ROSCA</t>
  </si>
  <si>
    <t>DADO D/IMPACTO HEX. 3/4" X 15/16" LARGO</t>
  </si>
  <si>
    <t>31201516</t>
  </si>
  <si>
    <t>CINTA REFLEJANTE 2" X 9M. DOGOTULS</t>
  </si>
  <si>
    <t>CAVAHOYOS HERCULES MGO. MAD. 48" TRUPER</t>
  </si>
  <si>
    <t>LONA REFORZADA 4X463M. GRIS, TRUPER</t>
  </si>
  <si>
    <t>CARDA COPA TRENZ. 3" MULTI ROSCA, TRUPER</t>
  </si>
  <si>
    <t>CRISTAL OBSCURO SOMBRA 12 P/CARETA</t>
  </si>
  <si>
    <t>CRISTAL OBSCURO SOMBRA 10 P/CARETA</t>
  </si>
  <si>
    <t>CRISTAL OBSCURO SOMBRA 11 P/CARETA</t>
  </si>
  <si>
    <t>CRISTAL OBSCURO SOMBRA 13 P/CARETA</t>
  </si>
  <si>
    <t>CRISTAL OBSCURO SOMBRA 14 P/CARETA</t>
  </si>
  <si>
    <t>27112906</t>
  </si>
  <si>
    <t>PISTOLA CALAFATEADORA ESQUELETO TRUPER</t>
  </si>
  <si>
    <t>PINZA HOJALATERA DE PRESION 8" PPP-8R</t>
  </si>
  <si>
    <t>DISCO DE CORTE INOX 4 1/2" BOSCH</t>
  </si>
  <si>
    <t>23271711</t>
  </si>
  <si>
    <t>BOQUILLA P/CORTE #3 ACETILENO, HARRIS</t>
  </si>
  <si>
    <t>27111704</t>
  </si>
  <si>
    <t>DADO 1/2" LARGO ASTRIADO 1 1/16", URREA</t>
  </si>
  <si>
    <t>PINZA PUNTA 90º P/ANILLOS D/RET. CERRAR</t>
  </si>
  <si>
    <t>PINZA PUNTA 90º P/ANILLOS D/RET. ABRIR</t>
  </si>
  <si>
    <t>31211501</t>
  </si>
  <si>
    <t>PINTURA AEROSOL ROJO 400ML</t>
  </si>
  <si>
    <t>PENS SILICON USO GENERAL TRANSP. 280G</t>
  </si>
  <si>
    <t>MARCADOR DE VALVULA BLANCO, DOGO TOOLS</t>
  </si>
  <si>
    <t>39121703</t>
  </si>
  <si>
    <t>CINCHO PLASTICO, 50 LBS, 350 MM, NEGRO</t>
  </si>
  <si>
    <t>LLAVE COMBINADA 1/2", PRETUL</t>
  </si>
  <si>
    <t>CINCHO PLASTICO, 50 LBS, 300 MM 50 PZAS</t>
  </si>
  <si>
    <t>31161601</t>
  </si>
  <si>
    <t>TAQUETE EXPANS.Y TORN.10MM. 2JGO.FISCHER</t>
  </si>
  <si>
    <t>31201502</t>
  </si>
  <si>
    <t>CINTA DE AISLAR NEGRA 18M. PRETUL</t>
  </si>
  <si>
    <t>40142204</t>
  </si>
  <si>
    <t>(RR077) REGULADOR VICTOR CUT SKILL OXIGENO</t>
  </si>
  <si>
    <t>23271700 / 40142205</t>
  </si>
  <si>
    <t>(RR095) REGULADOR VICTOR CUT SKILL ACETILENO</t>
  </si>
  <si>
    <t>23241500</t>
  </si>
  <si>
    <t>(RS062) SOPLETE DE CORTE VICTOR ST411C-1A</t>
  </si>
  <si>
    <t>40142201</t>
  </si>
  <si>
    <t>(RR134) REGULADOR CON FLUJOMETRO PARA ARGON CORTEC</t>
  </si>
  <si>
    <t>(RC035) CUELLO PARA ANTORCHA TIG FLEX MINI SERIE 9</t>
  </si>
  <si>
    <t>(RF005) FILTRO GAS LENS CH 3/32 45V26</t>
  </si>
  <si>
    <t>(RB034) BOQUILLA CORTE VICTOR ACET #2</t>
  </si>
  <si>
    <t>(RB035) BOQUILLA CORTE VICTOR ACET #3</t>
  </si>
  <si>
    <t>(RB308) BOQUILLA CORTE VICTOR ACETILENO #4</t>
  </si>
  <si>
    <t>(RC035) CUELLO PARA ANTORCHA TIG MINI SERIE 9 9FV</t>
  </si>
  <si>
    <t>41103311</t>
  </si>
  <si>
    <t>(RM061) MANOMETRO 2" 1/4 NPT INFERIOR 4000PSI-280KG/CM2</t>
  </si>
  <si>
    <t>(RM088) MANOMETRO 2" 1/4 NPT INFERIOR 400PSI-28KG/CM2</t>
  </si>
  <si>
    <t>(RA018) AISLANTE GAS LENS CH 54N01</t>
  </si>
  <si>
    <t>(RC030) CERAMICA GAS LENS #8 54N14</t>
  </si>
  <si>
    <t>(RT037) TAPA CORTA TIG 57Y04</t>
  </si>
  <si>
    <t>(RM024) MORDAZA 3/32 10N24</t>
  </si>
  <si>
    <t>(RC047) CERAMICA TIG #7 10N47</t>
  </si>
  <si>
    <t>46182005</t>
  </si>
  <si>
    <t>/T/ 7093-C FILTRO/CART VAP ORG Y GAS ACIDOS .</t>
  </si>
  <si>
    <t>46182002</t>
  </si>
  <si>
    <t>/T/ 6200 RESPIRADOR 3M PARA DOBLE CARTUCHO .</t>
  </si>
  <si>
    <t>46181503</t>
  </si>
  <si>
    <t>OVEROL LAKELAND TALLA XL MICROMAX NS DESECHABLE CTL428SF .</t>
  </si>
  <si>
    <t>46182306</t>
  </si>
  <si>
    <t>/SP/ LINEA DE VIDA HORIZONTAL TEMPORAL DE CABLE 30 METROS 10219290 10219290</t>
  </si>
  <si>
    <t>FILTRO PARTIC P100, P/OZONO VAP ORGANIC .</t>
  </si>
  <si>
    <t>46181802</t>
  </si>
  <si>
    <t>LENTE VIZZION CLARO .</t>
  </si>
  <si>
    <t>46181704</t>
  </si>
  <si>
    <t>CACHUCHA FASTRAC AZUL SIN PORTALAMPARA M2305611ARF .</t>
  </si>
  <si>
    <t>78121601</t>
  </si>
  <si>
    <t>/SP/ SERVICIO DE MANIOBRAS CARGA, DESCARGA Y EMPAQUE DE MERCANCIA .</t>
  </si>
  <si>
    <t>46181706</t>
  </si>
  <si>
    <t>/T/ PIEZA BARBOQUEJO V-GARD 4 PUNTOS .</t>
  </si>
  <si>
    <t>LENTE VIZZION GRIS .</t>
  </si>
  <si>
    <t>31201531</t>
  </si>
  <si>
    <t>CINTA BARRICADA 300 MTS AMARILLA PRECAUCION -JYR- .</t>
  </si>
  <si>
    <t>46181901</t>
  </si>
  <si>
    <t>TAPON AUDITIVO REUSABLE SQ1004 .</t>
  </si>
  <si>
    <t>46181811</t>
  </si>
  <si>
    <t>LENTE SENADOR 1414C CLARO .</t>
  </si>
  <si>
    <t>CINTA BARRICADA 300 MTS COLOR ROJA PELIGRO -JYR- .</t>
  </si>
  <si>
    <t>46181504</t>
  </si>
  <si>
    <t>GUANTE DE CORTE TEJIDO SIN COSTURAS CON DOBLE CAPA DE NITRILO A4 T-L .</t>
  </si>
  <si>
    <t>GUANTE DE POLIESTER-NYLON CON NITRILO LISO T-8 .</t>
  </si>
  <si>
    <t>/SP/ ANTEOJO ECO LINE GRIS HC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</si>
</sst>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####"/>
    <numFmt numFmtId="165" formatCode="\$#,##0.00"/>
  </numFmts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ptos"/>
    </font>
    <font>
      <sz val="10"/>
      <name val="Aptos"/>
    </font>
  </fonts>
  <fills count="3">
    <fill>
      <patternFill patternType="none"/>
    </fill>
    <fill>
      <patternFill patternType="gray125"/>
    </fill>
    <fill>
      <patternFill patternType="solid">
        <fgColor rgb="FF2F75B5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164" fontId="2" fillId="0" borderId="0" xfId="0" applyNumberFormat="1" applyFont="1"/>
    <xf numFmtId="165" fontId="2" fillId="0" borderId="0" xfId="0" applyNumberFormat="1" applyFon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7"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156082"/>
        </top>
      </border>
    </dxf>
    <dxf>
      <font>
        <b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</dxfs>
  <tableStyles count="1" defaultTableStyle="TableStyleMedium2" defaultPivotStyle="PivotStyleLight16">
    <tableStyle name="TableStyleMedium2 2" pivot="0" count="7" xr9:uid="{00136A56-66A3-4105-AAD5-E0CBD03A8BE1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4B5EDC-F58B-4309-9518-6B0C902CD8DE}" name="TablaConcentrado4" displayName="TablaConcentrado4" ref="A1:E351" totalsRowShown="0">
  <autoFilter ref="A1:E351" xr:uid="{154B5EDC-F58B-4309-9518-6B0C902CD8DE}"/>
  <tableColumns count="5">
    <tableColumn id="1" xr3:uid="{C79B8868-D571-4D6C-A4A2-CF393EA07D7A}" name="Clave / Código"/>
    <tableColumn id="2" xr3:uid="{F613C83A-FD26-46A5-AA76-A23362324DD7}" name="Descripción del artículo"/>
    <tableColumn id="3" xr3:uid="{D9BCDE53-86B4-44A1-B9C8-8D2CFECBCC37}" name="Cantidad total acumulada"/>
    <tableColumn id="4" xr3:uid="{01EEAE42-BA00-4C3A-A468-CB3E1D74E689}" name="Precio unitario promedio">
      <calculatedColumnFormula>IFERROR(E2/C2,0)</calculatedColumnFormula>
    </tableColumn>
    <tableColumn id="5" xr3:uid="{3A6E8AC2-7DA1-44E1-A014-3B8C6302ED32}" name="Importe total neto agrupado"/>
  </tableColumns>
  <tableStyleInfo name="TableStyleMedium2 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F4D23-7F85-44F3-8BE7-C6B91466488F}">
  <dimension ref="A1:E351"/>
  <sheetViews>
    <sheetView tabSelected="1" topLeftCell="A279" workbookViewId="0">
      <selection activeCell="B348" sqref="B1:B1048576"/>
    </sheetView>
  </sheetViews>
  <sheetFormatPr baseColWidth="10" defaultRowHeight="15" x14ac:dyDescent="0.25"/>
  <cols>
    <col min="1" max="1" width="11.42578125" customWidth="1"/>
    <col min="2" max="2" width="63.7109375" customWidth="1"/>
    <col min="3" max="5" width="11.42578125" customWidth="1"/>
  </cols>
  <sheetData>
    <row r="1" spans="1:5" ht="40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40.5" x14ac:dyDescent="0.25">
      <c r="A2" s="1" t="s">
        <v>5</v>
      </c>
      <c r="B2" s="2" t="s">
        <v>6</v>
      </c>
      <c r="C2" s="3">
        <v>5</v>
      </c>
      <c r="D2" s="4">
        <f t="shared" ref="D2:D65" si="0">IFERROR(E2/C2,0)</f>
        <v>7327.5862070000003</v>
      </c>
      <c r="E2" s="4">
        <v>36637.931035000001</v>
      </c>
    </row>
    <row r="3" spans="1:5" ht="40.5" x14ac:dyDescent="0.25">
      <c r="A3" s="1" t="s">
        <v>7</v>
      </c>
      <c r="B3" s="2" t="s">
        <v>8</v>
      </c>
      <c r="C3" s="3">
        <v>350</v>
      </c>
      <c r="D3" s="4">
        <f t="shared" si="0"/>
        <v>92.241379319999993</v>
      </c>
      <c r="E3" s="4">
        <v>32284.482761999996</v>
      </c>
    </row>
    <row r="4" spans="1:5" ht="40.5" x14ac:dyDescent="0.25">
      <c r="A4" s="1" t="s">
        <v>9</v>
      </c>
      <c r="B4" s="2" t="s">
        <v>10</v>
      </c>
      <c r="C4" s="3">
        <v>805</v>
      </c>
      <c r="D4" s="4">
        <f t="shared" si="0"/>
        <v>24.459198975155275</v>
      </c>
      <c r="E4" s="4">
        <v>19689.655174999996</v>
      </c>
    </row>
    <row r="5" spans="1:5" ht="54" x14ac:dyDescent="0.25">
      <c r="A5" s="1" t="s">
        <v>5</v>
      </c>
      <c r="B5" s="2" t="s">
        <v>11</v>
      </c>
      <c r="C5" s="3">
        <v>76</v>
      </c>
      <c r="D5" s="4">
        <f t="shared" si="0"/>
        <v>225.1588021710526</v>
      </c>
      <c r="E5" s="4">
        <v>17112.068964999999</v>
      </c>
    </row>
    <row r="6" spans="1:5" ht="54" x14ac:dyDescent="0.25">
      <c r="A6" s="1" t="s">
        <v>12</v>
      </c>
      <c r="B6" s="2" t="s">
        <v>13</v>
      </c>
      <c r="C6" s="3">
        <v>7</v>
      </c>
      <c r="D6" s="4">
        <f t="shared" si="0"/>
        <v>1805.6650247142859</v>
      </c>
      <c r="E6" s="4">
        <v>12639.655173000001</v>
      </c>
    </row>
    <row r="7" spans="1:5" ht="40.5" x14ac:dyDescent="0.25">
      <c r="A7" s="1" t="s">
        <v>14</v>
      </c>
      <c r="B7" s="2" t="s">
        <v>15</v>
      </c>
      <c r="C7" s="3">
        <v>2</v>
      </c>
      <c r="D7" s="4">
        <f t="shared" si="0"/>
        <v>5775.8620689999998</v>
      </c>
      <c r="E7" s="4">
        <v>11551.724138</v>
      </c>
    </row>
    <row r="8" spans="1:5" ht="54" x14ac:dyDescent="0.25">
      <c r="A8" s="1" t="s">
        <v>16</v>
      </c>
      <c r="B8" s="2" t="s">
        <v>17</v>
      </c>
      <c r="C8" s="3">
        <v>4</v>
      </c>
      <c r="D8" s="4">
        <f t="shared" si="0"/>
        <v>2586.2068967499999</v>
      </c>
      <c r="E8" s="4">
        <v>10344.827587</v>
      </c>
    </row>
    <row r="9" spans="1:5" ht="67.5" x14ac:dyDescent="0.25">
      <c r="A9" s="1" t="s">
        <v>5</v>
      </c>
      <c r="B9" s="2" t="s">
        <v>18</v>
      </c>
      <c r="C9" s="3">
        <v>98</v>
      </c>
      <c r="D9" s="4">
        <f t="shared" si="0"/>
        <v>91.959887408163269</v>
      </c>
      <c r="E9" s="4">
        <v>9012.0689660000007</v>
      </c>
    </row>
    <row r="10" spans="1:5" ht="27" x14ac:dyDescent="0.25">
      <c r="A10" s="1" t="s">
        <v>5</v>
      </c>
      <c r="B10" s="2" t="s">
        <v>19</v>
      </c>
      <c r="C10" s="3">
        <v>40</v>
      </c>
      <c r="D10" s="4">
        <f t="shared" si="0"/>
        <v>185.3448276</v>
      </c>
      <c r="E10" s="4">
        <v>7413.7931040000003</v>
      </c>
    </row>
    <row r="11" spans="1:5" ht="40.5" x14ac:dyDescent="0.25">
      <c r="A11" s="1" t="s">
        <v>16</v>
      </c>
      <c r="B11" s="2" t="s">
        <v>20</v>
      </c>
      <c r="C11" s="3">
        <v>3</v>
      </c>
      <c r="D11" s="4">
        <f t="shared" si="0"/>
        <v>2297.4137930000002</v>
      </c>
      <c r="E11" s="4">
        <v>6892.241379000001</v>
      </c>
    </row>
    <row r="12" spans="1:5" ht="40.5" x14ac:dyDescent="0.25">
      <c r="A12" s="1" t="s">
        <v>12</v>
      </c>
      <c r="B12" s="2" t="s">
        <v>21</v>
      </c>
      <c r="C12" s="3">
        <v>2</v>
      </c>
      <c r="D12" s="4">
        <f t="shared" si="0"/>
        <v>2491.3793105</v>
      </c>
      <c r="E12" s="4">
        <v>4982.7586209999999</v>
      </c>
    </row>
    <row r="13" spans="1:5" ht="40.5" x14ac:dyDescent="0.25">
      <c r="A13" s="1" t="s">
        <v>5</v>
      </c>
      <c r="B13" s="2" t="s">
        <v>22</v>
      </c>
      <c r="C13" s="3">
        <v>2</v>
      </c>
      <c r="D13" s="4">
        <f t="shared" si="0"/>
        <v>1896.5517239999999</v>
      </c>
      <c r="E13" s="4">
        <v>3793.1034479999998</v>
      </c>
    </row>
    <row r="14" spans="1:5" ht="40.5" x14ac:dyDescent="0.25">
      <c r="A14" s="1" t="s">
        <v>23</v>
      </c>
      <c r="B14" s="2" t="s">
        <v>24</v>
      </c>
      <c r="C14" s="3">
        <v>16</v>
      </c>
      <c r="D14" s="4">
        <f t="shared" si="0"/>
        <v>193.96551725</v>
      </c>
      <c r="E14" s="4">
        <v>3103.4482760000001</v>
      </c>
    </row>
    <row r="15" spans="1:5" ht="54" x14ac:dyDescent="0.25">
      <c r="A15" s="1" t="s">
        <v>25</v>
      </c>
      <c r="B15" s="2" t="s">
        <v>26</v>
      </c>
      <c r="C15" s="3">
        <v>2</v>
      </c>
      <c r="D15" s="4">
        <f t="shared" si="0"/>
        <v>1530.1724140000001</v>
      </c>
      <c r="E15" s="4">
        <v>3060.3448280000002</v>
      </c>
    </row>
    <row r="16" spans="1:5" ht="27" x14ac:dyDescent="0.25">
      <c r="A16" s="1" t="s">
        <v>27</v>
      </c>
      <c r="B16" s="2" t="s">
        <v>28</v>
      </c>
      <c r="C16" s="3">
        <v>2</v>
      </c>
      <c r="D16" s="4">
        <f t="shared" si="0"/>
        <v>1462.068966</v>
      </c>
      <c r="E16" s="4">
        <v>2924.1379320000001</v>
      </c>
    </row>
    <row r="17" spans="1:5" ht="27" x14ac:dyDescent="0.25">
      <c r="A17" s="1" t="s">
        <v>29</v>
      </c>
      <c r="B17" s="2" t="s">
        <v>30</v>
      </c>
      <c r="C17" s="3">
        <v>2</v>
      </c>
      <c r="D17" s="4">
        <f t="shared" si="0"/>
        <v>1347.4137929999999</v>
      </c>
      <c r="E17" s="4">
        <v>2694.8275859999999</v>
      </c>
    </row>
    <row r="18" spans="1:5" ht="54" x14ac:dyDescent="0.25">
      <c r="A18" s="1" t="s">
        <v>5</v>
      </c>
      <c r="B18" s="2" t="s">
        <v>31</v>
      </c>
      <c r="C18" s="3">
        <v>15</v>
      </c>
      <c r="D18" s="4">
        <f t="shared" si="0"/>
        <v>171.55172413333332</v>
      </c>
      <c r="E18" s="4">
        <v>2573.275862</v>
      </c>
    </row>
    <row r="19" spans="1:5" ht="27" x14ac:dyDescent="0.25">
      <c r="A19" s="1" t="s">
        <v>29</v>
      </c>
      <c r="B19" s="2" t="s">
        <v>32</v>
      </c>
      <c r="C19" s="3">
        <v>5</v>
      </c>
      <c r="D19" s="4">
        <f t="shared" si="0"/>
        <v>499.13793100000004</v>
      </c>
      <c r="E19" s="4">
        <v>2495.6896550000001</v>
      </c>
    </row>
    <row r="20" spans="1:5" ht="54" x14ac:dyDescent="0.25">
      <c r="A20" s="1" t="s">
        <v>5</v>
      </c>
      <c r="B20" s="2" t="s">
        <v>33</v>
      </c>
      <c r="C20" s="3">
        <v>7</v>
      </c>
      <c r="D20" s="4">
        <f t="shared" si="0"/>
        <v>342.9802955714286</v>
      </c>
      <c r="E20" s="4">
        <v>2400.8620690000002</v>
      </c>
    </row>
    <row r="21" spans="1:5" ht="40.5" x14ac:dyDescent="0.25">
      <c r="A21" s="1" t="s">
        <v>5</v>
      </c>
      <c r="B21" s="2" t="s">
        <v>34</v>
      </c>
      <c r="C21" s="3">
        <v>14</v>
      </c>
      <c r="D21" s="4">
        <f t="shared" si="0"/>
        <v>168.1034483571429</v>
      </c>
      <c r="E21" s="4">
        <v>2353.4482770000004</v>
      </c>
    </row>
    <row r="22" spans="1:5" ht="40.5" x14ac:dyDescent="0.25">
      <c r="A22" s="1" t="s">
        <v>25</v>
      </c>
      <c r="B22" s="2" t="s">
        <v>35</v>
      </c>
      <c r="C22" s="3">
        <v>1</v>
      </c>
      <c r="D22" s="4">
        <f t="shared" si="0"/>
        <v>2284.482759</v>
      </c>
      <c r="E22" s="4">
        <v>2284.482759</v>
      </c>
    </row>
    <row r="23" spans="1:5" ht="27" x14ac:dyDescent="0.25">
      <c r="A23" s="1" t="s">
        <v>29</v>
      </c>
      <c r="B23" s="2" t="s">
        <v>36</v>
      </c>
      <c r="C23" s="3">
        <v>3</v>
      </c>
      <c r="D23" s="4">
        <f t="shared" si="0"/>
        <v>739.65517233333333</v>
      </c>
      <c r="E23" s="4">
        <v>2218.9655170000001</v>
      </c>
    </row>
    <row r="24" spans="1:5" ht="40.5" x14ac:dyDescent="0.25">
      <c r="A24" s="1" t="s">
        <v>37</v>
      </c>
      <c r="B24" s="2" t="s">
        <v>38</v>
      </c>
      <c r="C24" s="3">
        <v>5</v>
      </c>
      <c r="D24" s="4">
        <f t="shared" si="0"/>
        <v>431.03448280000003</v>
      </c>
      <c r="E24" s="4">
        <v>2155.1724140000001</v>
      </c>
    </row>
    <row r="25" spans="1:5" ht="40.5" x14ac:dyDescent="0.25">
      <c r="A25" s="1" t="s">
        <v>39</v>
      </c>
      <c r="B25" s="2" t="s">
        <v>40</v>
      </c>
      <c r="C25" s="3">
        <v>1</v>
      </c>
      <c r="D25" s="4">
        <f t="shared" si="0"/>
        <v>2038.793103</v>
      </c>
      <c r="E25" s="4">
        <v>2038.793103</v>
      </c>
    </row>
    <row r="26" spans="1:5" ht="27" x14ac:dyDescent="0.25">
      <c r="A26" s="1" t="s">
        <v>25</v>
      </c>
      <c r="B26" s="2" t="s">
        <v>41</v>
      </c>
      <c r="C26" s="3">
        <v>1</v>
      </c>
      <c r="D26" s="4">
        <f t="shared" si="0"/>
        <v>1927.5862070000001</v>
      </c>
      <c r="E26" s="4">
        <v>1927.5862070000001</v>
      </c>
    </row>
    <row r="27" spans="1:5" ht="40.5" x14ac:dyDescent="0.25">
      <c r="A27" s="1" t="s">
        <v>5</v>
      </c>
      <c r="B27" s="2" t="s">
        <v>42</v>
      </c>
      <c r="C27" s="3">
        <v>4</v>
      </c>
      <c r="D27" s="4">
        <f t="shared" si="0"/>
        <v>453.44827600000002</v>
      </c>
      <c r="E27" s="4">
        <v>1813.7931040000001</v>
      </c>
    </row>
    <row r="28" spans="1:5" ht="54" x14ac:dyDescent="0.25">
      <c r="A28" s="1" t="s">
        <v>43</v>
      </c>
      <c r="B28" s="2" t="s">
        <v>44</v>
      </c>
      <c r="C28" s="3">
        <v>9</v>
      </c>
      <c r="D28" s="4">
        <f t="shared" si="0"/>
        <v>190.51724133333335</v>
      </c>
      <c r="E28" s="4">
        <v>1714.655172</v>
      </c>
    </row>
    <row r="29" spans="1:5" ht="67.5" x14ac:dyDescent="0.25">
      <c r="A29" s="1" t="s">
        <v>12</v>
      </c>
      <c r="B29" s="2" t="s">
        <v>45</v>
      </c>
      <c r="C29" s="3">
        <v>1</v>
      </c>
      <c r="D29" s="4">
        <f t="shared" si="0"/>
        <v>1711.206897</v>
      </c>
      <c r="E29" s="4">
        <v>1711.206897</v>
      </c>
    </row>
    <row r="30" spans="1:5" ht="27" x14ac:dyDescent="0.25">
      <c r="A30" s="1" t="s">
        <v>29</v>
      </c>
      <c r="B30" s="2" t="s">
        <v>46</v>
      </c>
      <c r="C30" s="3">
        <v>4</v>
      </c>
      <c r="D30" s="4">
        <f t="shared" si="0"/>
        <v>425</v>
      </c>
      <c r="E30" s="4">
        <v>1700</v>
      </c>
    </row>
    <row r="31" spans="1:5" ht="54" x14ac:dyDescent="0.25">
      <c r="A31" s="1" t="s">
        <v>5</v>
      </c>
      <c r="B31" s="2" t="s">
        <v>47</v>
      </c>
      <c r="C31" s="3">
        <v>7</v>
      </c>
      <c r="D31" s="4">
        <f t="shared" si="0"/>
        <v>208.49753685714288</v>
      </c>
      <c r="E31" s="4">
        <v>1459.4827580000001</v>
      </c>
    </row>
    <row r="32" spans="1:5" ht="27" x14ac:dyDescent="0.25">
      <c r="A32" s="1" t="s">
        <v>27</v>
      </c>
      <c r="B32" s="2" t="s">
        <v>48</v>
      </c>
      <c r="C32" s="3">
        <v>1</v>
      </c>
      <c r="D32" s="4">
        <f t="shared" si="0"/>
        <v>1431.0344829999999</v>
      </c>
      <c r="E32" s="4">
        <v>1431.0344829999999</v>
      </c>
    </row>
    <row r="33" spans="1:5" ht="67.5" x14ac:dyDescent="0.25">
      <c r="A33" s="1" t="s">
        <v>5</v>
      </c>
      <c r="B33" s="2" t="s">
        <v>49</v>
      </c>
      <c r="C33" s="3">
        <v>12</v>
      </c>
      <c r="D33" s="4">
        <f t="shared" si="0"/>
        <v>113.79310341666667</v>
      </c>
      <c r="E33" s="4">
        <v>1365.517241</v>
      </c>
    </row>
    <row r="34" spans="1:5" ht="40.5" x14ac:dyDescent="0.25">
      <c r="A34" s="1" t="s">
        <v>5</v>
      </c>
      <c r="B34" s="2" t="s">
        <v>50</v>
      </c>
      <c r="C34" s="3">
        <v>11</v>
      </c>
      <c r="D34" s="4">
        <f t="shared" si="0"/>
        <v>123.354232</v>
      </c>
      <c r="E34" s="4">
        <v>1356.8965519999999</v>
      </c>
    </row>
    <row r="35" spans="1:5" ht="54" x14ac:dyDescent="0.25">
      <c r="A35" s="1" t="s">
        <v>5</v>
      </c>
      <c r="B35" s="2" t="s">
        <v>51</v>
      </c>
      <c r="C35" s="3">
        <v>3</v>
      </c>
      <c r="D35" s="4">
        <f t="shared" si="0"/>
        <v>431.03448266666669</v>
      </c>
      <c r="E35" s="4">
        <v>1293.1034480000001</v>
      </c>
    </row>
    <row r="36" spans="1:5" ht="27" x14ac:dyDescent="0.25">
      <c r="A36" s="1" t="s">
        <v>29</v>
      </c>
      <c r="B36" s="2" t="s">
        <v>52</v>
      </c>
      <c r="C36" s="3">
        <v>2</v>
      </c>
      <c r="D36" s="4">
        <f t="shared" si="0"/>
        <v>625</v>
      </c>
      <c r="E36" s="4">
        <v>1250</v>
      </c>
    </row>
    <row r="37" spans="1:5" ht="54" x14ac:dyDescent="0.25">
      <c r="A37" s="1" t="s">
        <v>53</v>
      </c>
      <c r="B37" s="2" t="s">
        <v>54</v>
      </c>
      <c r="C37" s="3">
        <v>25</v>
      </c>
      <c r="D37" s="4">
        <f t="shared" si="0"/>
        <v>48.275862079999996</v>
      </c>
      <c r="E37" s="4">
        <v>1206.8965519999999</v>
      </c>
    </row>
    <row r="38" spans="1:5" ht="40.5" x14ac:dyDescent="0.25">
      <c r="A38" s="1" t="s">
        <v>25</v>
      </c>
      <c r="B38" s="2" t="s">
        <v>55</v>
      </c>
      <c r="C38" s="3">
        <v>1</v>
      </c>
      <c r="D38" s="4">
        <f t="shared" si="0"/>
        <v>1120.6896549999999</v>
      </c>
      <c r="E38" s="4">
        <v>1120.6896549999999</v>
      </c>
    </row>
    <row r="39" spans="1:5" ht="54" x14ac:dyDescent="0.25">
      <c r="A39" s="1" t="s">
        <v>5</v>
      </c>
      <c r="B39" s="2" t="s">
        <v>56</v>
      </c>
      <c r="C39" s="3">
        <v>2</v>
      </c>
      <c r="D39" s="4">
        <f t="shared" si="0"/>
        <v>560.34482749999995</v>
      </c>
      <c r="E39" s="4">
        <v>1120.6896549999999</v>
      </c>
    </row>
    <row r="40" spans="1:5" ht="40.5" x14ac:dyDescent="0.25">
      <c r="A40" s="1" t="s">
        <v>5</v>
      </c>
      <c r="B40" s="2" t="s">
        <v>57</v>
      </c>
      <c r="C40" s="3">
        <v>11</v>
      </c>
      <c r="D40" s="4">
        <f t="shared" si="0"/>
        <v>100</v>
      </c>
      <c r="E40" s="4">
        <v>1100</v>
      </c>
    </row>
    <row r="41" spans="1:5" ht="40.5" x14ac:dyDescent="0.25">
      <c r="A41" s="1" t="s">
        <v>58</v>
      </c>
      <c r="B41" s="2" t="s">
        <v>59</v>
      </c>
      <c r="C41" s="3">
        <v>3</v>
      </c>
      <c r="D41" s="4">
        <f t="shared" si="0"/>
        <v>357.75862066666667</v>
      </c>
      <c r="E41" s="4">
        <v>1073.275862</v>
      </c>
    </row>
    <row r="42" spans="1:5" ht="40.5" x14ac:dyDescent="0.25">
      <c r="A42" s="1" t="s">
        <v>60</v>
      </c>
      <c r="B42" s="2" t="s">
        <v>61</v>
      </c>
      <c r="C42" s="3">
        <v>3</v>
      </c>
      <c r="D42" s="4">
        <f t="shared" si="0"/>
        <v>338.79310333333331</v>
      </c>
      <c r="E42" s="4">
        <v>1016.3793099999999</v>
      </c>
    </row>
    <row r="43" spans="1:5" ht="27" x14ac:dyDescent="0.25">
      <c r="A43" s="1" t="s">
        <v>29</v>
      </c>
      <c r="B43" s="2" t="s">
        <v>62</v>
      </c>
      <c r="C43" s="3">
        <v>3</v>
      </c>
      <c r="D43" s="4">
        <f t="shared" si="0"/>
        <v>331.89655166666665</v>
      </c>
      <c r="E43" s="4">
        <v>995.68965500000002</v>
      </c>
    </row>
    <row r="44" spans="1:5" ht="67.5" x14ac:dyDescent="0.25">
      <c r="A44" s="1" t="s">
        <v>5</v>
      </c>
      <c r="B44" s="2" t="s">
        <v>63</v>
      </c>
      <c r="C44" s="3">
        <v>6</v>
      </c>
      <c r="D44" s="4">
        <f t="shared" si="0"/>
        <v>155.17241383333334</v>
      </c>
      <c r="E44" s="4">
        <v>931.03448300000002</v>
      </c>
    </row>
    <row r="45" spans="1:5" ht="40.5" x14ac:dyDescent="0.25">
      <c r="A45" s="1" t="s">
        <v>64</v>
      </c>
      <c r="B45" s="2" t="s">
        <v>65</v>
      </c>
      <c r="C45" s="3">
        <v>6</v>
      </c>
      <c r="D45" s="4">
        <f t="shared" si="0"/>
        <v>146.55172416666667</v>
      </c>
      <c r="E45" s="4">
        <v>879.31034499999998</v>
      </c>
    </row>
    <row r="46" spans="1:5" ht="40.5" x14ac:dyDescent="0.25">
      <c r="A46" s="1" t="s">
        <v>66</v>
      </c>
      <c r="B46" s="2" t="s">
        <v>67</v>
      </c>
      <c r="C46" s="3">
        <v>10</v>
      </c>
      <c r="D46" s="4">
        <f t="shared" si="0"/>
        <v>81.896551799999997</v>
      </c>
      <c r="E46" s="4">
        <v>818.96551799999997</v>
      </c>
    </row>
    <row r="47" spans="1:5" ht="67.5" x14ac:dyDescent="0.25">
      <c r="A47" s="1" t="s">
        <v>5</v>
      </c>
      <c r="B47" s="2" t="s">
        <v>68</v>
      </c>
      <c r="C47" s="3">
        <v>4</v>
      </c>
      <c r="D47" s="4">
        <f t="shared" si="0"/>
        <v>200.86206899999999</v>
      </c>
      <c r="E47" s="4">
        <v>803.44827599999996</v>
      </c>
    </row>
    <row r="48" spans="1:5" ht="40.5" x14ac:dyDescent="0.25">
      <c r="A48" s="1" t="s">
        <v>69</v>
      </c>
      <c r="B48" s="2" t="s">
        <v>70</v>
      </c>
      <c r="C48" s="3">
        <v>48</v>
      </c>
      <c r="D48" s="4">
        <f t="shared" si="0"/>
        <v>16.163793104166668</v>
      </c>
      <c r="E48" s="4">
        <v>775.86206900000002</v>
      </c>
    </row>
    <row r="49" spans="1:5" ht="40.5" x14ac:dyDescent="0.25">
      <c r="A49" s="1" t="s">
        <v>25</v>
      </c>
      <c r="B49" s="2" t="s">
        <v>71</v>
      </c>
      <c r="C49" s="3">
        <v>1</v>
      </c>
      <c r="D49" s="4">
        <f t="shared" si="0"/>
        <v>774.13793099999998</v>
      </c>
      <c r="E49" s="4">
        <v>774.13793099999998</v>
      </c>
    </row>
    <row r="50" spans="1:5" ht="54" x14ac:dyDescent="0.25">
      <c r="A50" s="1" t="s">
        <v>72</v>
      </c>
      <c r="B50" s="2" t="s">
        <v>73</v>
      </c>
      <c r="C50" s="3">
        <v>2</v>
      </c>
      <c r="D50" s="4">
        <f t="shared" si="0"/>
        <v>384.48275849999999</v>
      </c>
      <c r="E50" s="4">
        <v>768.96551699999998</v>
      </c>
    </row>
    <row r="51" spans="1:5" ht="67.5" x14ac:dyDescent="0.25">
      <c r="A51" s="1" t="s">
        <v>74</v>
      </c>
      <c r="B51" s="2" t="s">
        <v>75</v>
      </c>
      <c r="C51" s="3">
        <v>6</v>
      </c>
      <c r="D51" s="4">
        <f t="shared" si="0"/>
        <v>126.724138</v>
      </c>
      <c r="E51" s="4">
        <v>760.34482800000001</v>
      </c>
    </row>
    <row r="52" spans="1:5" ht="67.5" x14ac:dyDescent="0.25">
      <c r="A52" s="1" t="s">
        <v>12</v>
      </c>
      <c r="B52" s="2" t="s">
        <v>76</v>
      </c>
      <c r="C52" s="3">
        <v>3</v>
      </c>
      <c r="D52" s="4">
        <f t="shared" si="0"/>
        <v>244.82758633333333</v>
      </c>
      <c r="E52" s="4">
        <v>734.48275899999999</v>
      </c>
    </row>
    <row r="53" spans="1:5" ht="54" x14ac:dyDescent="0.25">
      <c r="A53" s="1" t="s">
        <v>77</v>
      </c>
      <c r="B53" s="2" t="s">
        <v>78</v>
      </c>
      <c r="C53" s="3">
        <v>12</v>
      </c>
      <c r="D53" s="4">
        <f t="shared" si="0"/>
        <v>59.482758583333329</v>
      </c>
      <c r="E53" s="4">
        <v>713.79310299999997</v>
      </c>
    </row>
    <row r="54" spans="1:5" ht="67.5" x14ac:dyDescent="0.25">
      <c r="A54" s="1" t="s">
        <v>5</v>
      </c>
      <c r="B54" s="2" t="s">
        <v>79</v>
      </c>
      <c r="C54" s="3">
        <v>3</v>
      </c>
      <c r="D54" s="4">
        <f t="shared" si="0"/>
        <v>237.06896566666668</v>
      </c>
      <c r="E54" s="4">
        <v>711.20689700000003</v>
      </c>
    </row>
    <row r="55" spans="1:5" ht="54" x14ac:dyDescent="0.25">
      <c r="A55" s="1" t="s">
        <v>80</v>
      </c>
      <c r="B55" s="2" t="s">
        <v>81</v>
      </c>
      <c r="C55" s="3">
        <v>20</v>
      </c>
      <c r="D55" s="4">
        <f t="shared" si="0"/>
        <v>34.482758599999997</v>
      </c>
      <c r="E55" s="4">
        <v>689.65517199999999</v>
      </c>
    </row>
    <row r="56" spans="1:5" ht="67.5" x14ac:dyDescent="0.25">
      <c r="A56" s="1" t="s">
        <v>5</v>
      </c>
      <c r="B56" s="2" t="s">
        <v>82</v>
      </c>
      <c r="C56" s="3">
        <v>22</v>
      </c>
      <c r="D56" s="4">
        <f t="shared" si="0"/>
        <v>31.191222545454547</v>
      </c>
      <c r="E56" s="4">
        <v>686.20689600000003</v>
      </c>
    </row>
    <row r="57" spans="1:5" ht="54" x14ac:dyDescent="0.25">
      <c r="A57" s="1" t="s">
        <v>5</v>
      </c>
      <c r="B57" s="2" t="s">
        <v>83</v>
      </c>
      <c r="C57" s="3">
        <v>3</v>
      </c>
      <c r="D57" s="4">
        <f t="shared" si="0"/>
        <v>228.44827599999999</v>
      </c>
      <c r="E57" s="4">
        <v>685.34482800000001</v>
      </c>
    </row>
    <row r="58" spans="1:5" ht="54" x14ac:dyDescent="0.25">
      <c r="A58" s="1" t="s">
        <v>5</v>
      </c>
      <c r="B58" s="2" t="s">
        <v>84</v>
      </c>
      <c r="C58" s="3">
        <v>4</v>
      </c>
      <c r="D58" s="4">
        <f t="shared" si="0"/>
        <v>166.37931025</v>
      </c>
      <c r="E58" s="4">
        <v>665.51724100000001</v>
      </c>
    </row>
    <row r="59" spans="1:5" ht="54" x14ac:dyDescent="0.25">
      <c r="A59" s="1" t="s">
        <v>16</v>
      </c>
      <c r="B59" s="2" t="s">
        <v>85</v>
      </c>
      <c r="C59" s="3">
        <v>1</v>
      </c>
      <c r="D59" s="4">
        <f t="shared" si="0"/>
        <v>650.86206900000002</v>
      </c>
      <c r="E59" s="4">
        <v>650.86206900000002</v>
      </c>
    </row>
    <row r="60" spans="1:5" ht="54" x14ac:dyDescent="0.25">
      <c r="A60" s="1" t="s">
        <v>77</v>
      </c>
      <c r="B60" s="2" t="s">
        <v>86</v>
      </c>
      <c r="C60" s="3">
        <v>144</v>
      </c>
      <c r="D60" s="4">
        <f t="shared" si="0"/>
        <v>4.3103448263888886</v>
      </c>
      <c r="E60" s="4">
        <v>620.68965500000002</v>
      </c>
    </row>
    <row r="61" spans="1:5" ht="40.5" x14ac:dyDescent="0.25">
      <c r="A61" s="1" t="s">
        <v>87</v>
      </c>
      <c r="B61" s="2" t="s">
        <v>88</v>
      </c>
      <c r="C61" s="3">
        <v>1</v>
      </c>
      <c r="D61" s="4">
        <f t="shared" si="0"/>
        <v>607.75862099999995</v>
      </c>
      <c r="E61" s="4">
        <v>607.75862099999995</v>
      </c>
    </row>
    <row r="62" spans="1:5" ht="67.5" x14ac:dyDescent="0.25">
      <c r="A62" s="1" t="s">
        <v>5</v>
      </c>
      <c r="B62" s="2" t="s">
        <v>89</v>
      </c>
      <c r="C62" s="3">
        <v>1</v>
      </c>
      <c r="D62" s="4">
        <f t="shared" si="0"/>
        <v>603.44827599999996</v>
      </c>
      <c r="E62" s="4">
        <v>603.44827599999996</v>
      </c>
    </row>
    <row r="63" spans="1:5" ht="54" x14ac:dyDescent="0.25">
      <c r="A63" s="1" t="s">
        <v>5</v>
      </c>
      <c r="B63" s="2" t="s">
        <v>90</v>
      </c>
      <c r="C63" s="3">
        <v>17</v>
      </c>
      <c r="D63" s="4">
        <f t="shared" si="0"/>
        <v>34.482758588235299</v>
      </c>
      <c r="E63" s="4">
        <v>586.20689600000003</v>
      </c>
    </row>
    <row r="64" spans="1:5" ht="54" x14ac:dyDescent="0.25">
      <c r="A64" s="1" t="s">
        <v>43</v>
      </c>
      <c r="B64" s="2" t="s">
        <v>91</v>
      </c>
      <c r="C64" s="3">
        <v>5</v>
      </c>
      <c r="D64" s="4">
        <f t="shared" si="0"/>
        <v>113.79310339999999</v>
      </c>
      <c r="E64" s="4">
        <v>568.96551699999998</v>
      </c>
    </row>
    <row r="65" spans="1:5" ht="40.5" x14ac:dyDescent="0.25">
      <c r="A65" s="1" t="s">
        <v>5</v>
      </c>
      <c r="B65" s="2" t="s">
        <v>92</v>
      </c>
      <c r="C65" s="3">
        <v>2</v>
      </c>
      <c r="D65" s="4">
        <f t="shared" si="0"/>
        <v>269.827586</v>
      </c>
      <c r="E65" s="4">
        <v>539.65517199999999</v>
      </c>
    </row>
    <row r="66" spans="1:5" ht="54" x14ac:dyDescent="0.25">
      <c r="A66" s="1" t="s">
        <v>5</v>
      </c>
      <c r="B66" s="2" t="s">
        <v>93</v>
      </c>
      <c r="C66" s="3">
        <v>2</v>
      </c>
      <c r="D66" s="4">
        <f t="shared" ref="D66:D129" si="1">IFERROR(E66/C66,0)</f>
        <v>258.62068950000003</v>
      </c>
      <c r="E66" s="4">
        <v>517.24137900000005</v>
      </c>
    </row>
    <row r="67" spans="1:5" ht="67.5" x14ac:dyDescent="0.25">
      <c r="A67" s="1" t="s">
        <v>5</v>
      </c>
      <c r="B67" s="2" t="s">
        <v>94</v>
      </c>
      <c r="C67" s="3">
        <v>1</v>
      </c>
      <c r="D67" s="4">
        <f t="shared" si="1"/>
        <v>517.24137900000005</v>
      </c>
      <c r="E67" s="4">
        <v>517.24137900000005</v>
      </c>
    </row>
    <row r="68" spans="1:5" ht="67.5" x14ac:dyDescent="0.25">
      <c r="A68" s="1" t="s">
        <v>5</v>
      </c>
      <c r="B68" s="2" t="s">
        <v>95</v>
      </c>
      <c r="C68" s="3">
        <v>1</v>
      </c>
      <c r="D68" s="4">
        <f t="shared" si="1"/>
        <v>510.34482800000001</v>
      </c>
      <c r="E68" s="4">
        <v>510.34482800000001</v>
      </c>
    </row>
    <row r="69" spans="1:5" ht="67.5" x14ac:dyDescent="0.25">
      <c r="A69" s="1" t="s">
        <v>5</v>
      </c>
      <c r="B69" s="2" t="s">
        <v>96</v>
      </c>
      <c r="C69" s="3">
        <v>3</v>
      </c>
      <c r="D69" s="4">
        <f t="shared" si="1"/>
        <v>168.10344833333332</v>
      </c>
      <c r="E69" s="4">
        <v>504.31034499999998</v>
      </c>
    </row>
    <row r="70" spans="1:5" ht="67.5" x14ac:dyDescent="0.25">
      <c r="A70" s="1" t="s">
        <v>43</v>
      </c>
      <c r="B70" s="2" t="s">
        <v>97</v>
      </c>
      <c r="C70" s="3">
        <v>2</v>
      </c>
      <c r="D70" s="4">
        <f t="shared" si="1"/>
        <v>246.55172400000001</v>
      </c>
      <c r="E70" s="4">
        <v>493.10344800000001</v>
      </c>
    </row>
    <row r="71" spans="1:5" ht="54" x14ac:dyDescent="0.25">
      <c r="A71" s="1" t="s">
        <v>5</v>
      </c>
      <c r="B71" s="2" t="s">
        <v>98</v>
      </c>
      <c r="C71" s="3">
        <v>4</v>
      </c>
      <c r="D71" s="4">
        <f t="shared" si="1"/>
        <v>121.55172425000001</v>
      </c>
      <c r="E71" s="4">
        <v>486.20689700000003</v>
      </c>
    </row>
    <row r="72" spans="1:5" ht="54" x14ac:dyDescent="0.25">
      <c r="A72" s="1" t="s">
        <v>12</v>
      </c>
      <c r="B72" s="2" t="s">
        <v>99</v>
      </c>
      <c r="C72" s="3">
        <v>1</v>
      </c>
      <c r="D72" s="4">
        <f t="shared" si="1"/>
        <v>474.13793099999998</v>
      </c>
      <c r="E72" s="4">
        <v>474.13793099999998</v>
      </c>
    </row>
    <row r="73" spans="1:5" ht="40.5" x14ac:dyDescent="0.25">
      <c r="A73" s="1" t="s">
        <v>58</v>
      </c>
      <c r="B73" s="2" t="s">
        <v>100</v>
      </c>
      <c r="C73" s="3">
        <v>1</v>
      </c>
      <c r="D73" s="4">
        <f t="shared" si="1"/>
        <v>474.13793099999998</v>
      </c>
      <c r="E73" s="4">
        <v>474.13793099999998</v>
      </c>
    </row>
    <row r="74" spans="1:5" ht="40.5" x14ac:dyDescent="0.25">
      <c r="A74" s="1" t="s">
        <v>101</v>
      </c>
      <c r="B74" s="2" t="s">
        <v>102</v>
      </c>
      <c r="C74" s="3">
        <v>21</v>
      </c>
      <c r="D74" s="4">
        <f t="shared" si="1"/>
        <v>22.413793095238095</v>
      </c>
      <c r="E74" s="4">
        <v>470.68965500000002</v>
      </c>
    </row>
    <row r="75" spans="1:5" ht="40.5" x14ac:dyDescent="0.25">
      <c r="A75" s="1" t="s">
        <v>5</v>
      </c>
      <c r="B75" s="2" t="s">
        <v>103</v>
      </c>
      <c r="C75" s="3">
        <v>3</v>
      </c>
      <c r="D75" s="4">
        <f t="shared" si="1"/>
        <v>155.17241366666667</v>
      </c>
      <c r="E75" s="4">
        <v>465.51724100000001</v>
      </c>
    </row>
    <row r="76" spans="1:5" ht="67.5" x14ac:dyDescent="0.25">
      <c r="A76" s="1" t="s">
        <v>5</v>
      </c>
      <c r="B76" s="2" t="s">
        <v>104</v>
      </c>
      <c r="C76" s="3">
        <v>8</v>
      </c>
      <c r="D76" s="4">
        <f t="shared" si="1"/>
        <v>57.758620624999992</v>
      </c>
      <c r="E76" s="4">
        <v>462.06896499999993</v>
      </c>
    </row>
    <row r="77" spans="1:5" ht="67.5" x14ac:dyDescent="0.25">
      <c r="A77" s="1" t="s">
        <v>5</v>
      </c>
      <c r="B77" s="2" t="s">
        <v>105</v>
      </c>
      <c r="C77" s="3">
        <v>2</v>
      </c>
      <c r="D77" s="4">
        <f t="shared" si="1"/>
        <v>228.44827599999999</v>
      </c>
      <c r="E77" s="4">
        <v>456.89655199999999</v>
      </c>
    </row>
    <row r="78" spans="1:5" ht="54" x14ac:dyDescent="0.25">
      <c r="A78" s="1" t="s">
        <v>5</v>
      </c>
      <c r="B78" s="2" t="s">
        <v>106</v>
      </c>
      <c r="C78" s="3">
        <v>1</v>
      </c>
      <c r="D78" s="4">
        <f t="shared" si="1"/>
        <v>453.44827600000002</v>
      </c>
      <c r="E78" s="4">
        <v>453.44827600000002</v>
      </c>
    </row>
    <row r="79" spans="1:5" ht="40.5" x14ac:dyDescent="0.25">
      <c r="A79" s="1" t="s">
        <v>107</v>
      </c>
      <c r="B79" s="2" t="s">
        <v>108</v>
      </c>
      <c r="C79" s="3">
        <v>50</v>
      </c>
      <c r="D79" s="4">
        <f t="shared" si="1"/>
        <v>8.62068966</v>
      </c>
      <c r="E79" s="4">
        <v>431.03448300000002</v>
      </c>
    </row>
    <row r="80" spans="1:5" ht="54" x14ac:dyDescent="0.25">
      <c r="A80" s="1" t="s">
        <v>107</v>
      </c>
      <c r="B80" s="2" t="s">
        <v>109</v>
      </c>
      <c r="C80" s="3">
        <v>100</v>
      </c>
      <c r="D80" s="4">
        <f t="shared" si="1"/>
        <v>4.31034483</v>
      </c>
      <c r="E80" s="4">
        <v>431.03448300000002</v>
      </c>
    </row>
    <row r="81" spans="1:5" ht="67.5" x14ac:dyDescent="0.25">
      <c r="A81" s="1" t="s">
        <v>110</v>
      </c>
      <c r="B81" s="2" t="s">
        <v>111</v>
      </c>
      <c r="C81" s="3">
        <v>2</v>
      </c>
      <c r="D81" s="4">
        <f t="shared" si="1"/>
        <v>215.51724150000001</v>
      </c>
      <c r="E81" s="4">
        <v>431.03448300000002</v>
      </c>
    </row>
    <row r="82" spans="1:5" ht="54" x14ac:dyDescent="0.25">
      <c r="A82" s="1" t="s">
        <v>5</v>
      </c>
      <c r="B82" s="2" t="s">
        <v>112</v>
      </c>
      <c r="C82" s="3">
        <v>2</v>
      </c>
      <c r="D82" s="4">
        <f t="shared" si="1"/>
        <v>212.93103450000001</v>
      </c>
      <c r="E82" s="4">
        <v>425.86206900000002</v>
      </c>
    </row>
    <row r="83" spans="1:5" ht="67.5" x14ac:dyDescent="0.25">
      <c r="A83" s="1" t="s">
        <v>5</v>
      </c>
      <c r="B83" s="2" t="s">
        <v>113</v>
      </c>
      <c r="C83" s="3">
        <v>2</v>
      </c>
      <c r="D83" s="4">
        <f t="shared" si="1"/>
        <v>204.31034500000001</v>
      </c>
      <c r="E83" s="4">
        <v>408.62069000000002</v>
      </c>
    </row>
    <row r="84" spans="1:5" ht="54" x14ac:dyDescent="0.25">
      <c r="A84" s="1" t="s">
        <v>5</v>
      </c>
      <c r="B84" s="2" t="s">
        <v>114</v>
      </c>
      <c r="C84" s="3">
        <v>2</v>
      </c>
      <c r="D84" s="4">
        <f t="shared" si="1"/>
        <v>200.86206899999999</v>
      </c>
      <c r="E84" s="4">
        <v>401.72413799999998</v>
      </c>
    </row>
    <row r="85" spans="1:5" ht="40.5" x14ac:dyDescent="0.25">
      <c r="A85" s="1" t="s">
        <v>115</v>
      </c>
      <c r="B85" s="2" t="s">
        <v>116</v>
      </c>
      <c r="C85" s="3">
        <v>2</v>
      </c>
      <c r="D85" s="4">
        <f t="shared" si="1"/>
        <v>200.86206899999999</v>
      </c>
      <c r="E85" s="4">
        <v>401.72413799999998</v>
      </c>
    </row>
    <row r="86" spans="1:5" ht="27" x14ac:dyDescent="0.25">
      <c r="A86" s="1" t="s">
        <v>117</v>
      </c>
      <c r="B86" s="2" t="s">
        <v>118</v>
      </c>
      <c r="C86" s="3">
        <v>62</v>
      </c>
      <c r="D86" s="4">
        <f t="shared" si="1"/>
        <v>6.4655172419354843</v>
      </c>
      <c r="E86" s="4">
        <v>400.86206900000002</v>
      </c>
    </row>
    <row r="87" spans="1:5" ht="54" x14ac:dyDescent="0.25">
      <c r="A87" s="1" t="s">
        <v>5</v>
      </c>
      <c r="B87" s="2" t="s">
        <v>119</v>
      </c>
      <c r="C87" s="3">
        <v>2</v>
      </c>
      <c r="D87" s="4">
        <f t="shared" si="1"/>
        <v>199.13793100000001</v>
      </c>
      <c r="E87" s="4">
        <v>398.27586200000002</v>
      </c>
    </row>
    <row r="88" spans="1:5" ht="67.5" x14ac:dyDescent="0.25">
      <c r="A88" s="1" t="s">
        <v>5</v>
      </c>
      <c r="B88" s="2" t="s">
        <v>120</v>
      </c>
      <c r="C88" s="3">
        <v>5</v>
      </c>
      <c r="D88" s="4">
        <f t="shared" si="1"/>
        <v>79.310345000000012</v>
      </c>
      <c r="E88" s="4">
        <v>396.55172500000003</v>
      </c>
    </row>
    <row r="89" spans="1:5" ht="40.5" x14ac:dyDescent="0.25">
      <c r="A89" s="1" t="s">
        <v>5</v>
      </c>
      <c r="B89" s="2" t="s">
        <v>121</v>
      </c>
      <c r="C89" s="3">
        <v>3</v>
      </c>
      <c r="D89" s="4">
        <f t="shared" si="1"/>
        <v>131.89655166666668</v>
      </c>
      <c r="E89" s="4">
        <v>395.68965500000002</v>
      </c>
    </row>
    <row r="90" spans="1:5" ht="54" x14ac:dyDescent="0.25">
      <c r="A90" s="1" t="s">
        <v>122</v>
      </c>
      <c r="B90" s="2" t="s">
        <v>123</v>
      </c>
      <c r="C90" s="3">
        <v>1</v>
      </c>
      <c r="D90" s="4">
        <f t="shared" si="1"/>
        <v>394.827586</v>
      </c>
      <c r="E90" s="4">
        <v>394.827586</v>
      </c>
    </row>
    <row r="91" spans="1:5" ht="54" x14ac:dyDescent="0.25">
      <c r="A91" s="1" t="s">
        <v>5</v>
      </c>
      <c r="B91" s="2" t="s">
        <v>124</v>
      </c>
      <c r="C91" s="3">
        <v>2</v>
      </c>
      <c r="D91" s="4">
        <f t="shared" si="1"/>
        <v>189.65517249999999</v>
      </c>
      <c r="E91" s="4">
        <v>379.31034499999998</v>
      </c>
    </row>
    <row r="92" spans="1:5" ht="40.5" x14ac:dyDescent="0.25">
      <c r="A92" s="1" t="s">
        <v>125</v>
      </c>
      <c r="B92" s="2" t="s">
        <v>126</v>
      </c>
      <c r="C92" s="3">
        <v>1</v>
      </c>
      <c r="D92" s="4">
        <f t="shared" si="1"/>
        <v>373.27586200000002</v>
      </c>
      <c r="E92" s="4">
        <v>373.27586200000002</v>
      </c>
    </row>
    <row r="93" spans="1:5" ht="67.5" x14ac:dyDescent="0.25">
      <c r="A93" s="1" t="s">
        <v>5</v>
      </c>
      <c r="B93" s="2" t="s">
        <v>127</v>
      </c>
      <c r="C93" s="3">
        <v>2</v>
      </c>
      <c r="D93" s="4">
        <f t="shared" si="1"/>
        <v>181.89655200000001</v>
      </c>
      <c r="E93" s="4">
        <v>363.79310400000003</v>
      </c>
    </row>
    <row r="94" spans="1:5" ht="40.5" x14ac:dyDescent="0.25">
      <c r="A94" s="1" t="s">
        <v>87</v>
      </c>
      <c r="B94" s="2" t="s">
        <v>128</v>
      </c>
      <c r="C94" s="3">
        <v>1</v>
      </c>
      <c r="D94" s="4">
        <f t="shared" si="1"/>
        <v>362.06896599999999</v>
      </c>
      <c r="E94" s="4">
        <v>362.06896599999999</v>
      </c>
    </row>
    <row r="95" spans="1:5" ht="67.5" x14ac:dyDescent="0.25">
      <c r="A95" s="1" t="s">
        <v>129</v>
      </c>
      <c r="B95" s="2" t="s">
        <v>130</v>
      </c>
      <c r="C95" s="3">
        <v>11</v>
      </c>
      <c r="D95" s="4">
        <f t="shared" si="1"/>
        <v>32.758620727272728</v>
      </c>
      <c r="E95" s="4">
        <v>360.34482800000001</v>
      </c>
    </row>
    <row r="96" spans="1:5" ht="81" x14ac:dyDescent="0.25">
      <c r="A96" s="1" t="s">
        <v>5</v>
      </c>
      <c r="B96" s="2" t="s">
        <v>131</v>
      </c>
      <c r="C96" s="3">
        <v>4</v>
      </c>
      <c r="D96" s="4">
        <f t="shared" si="1"/>
        <v>88.793103500000001</v>
      </c>
      <c r="E96" s="4">
        <v>355.172414</v>
      </c>
    </row>
    <row r="97" spans="1:5" ht="27" x14ac:dyDescent="0.25">
      <c r="A97" s="1" t="s">
        <v>66</v>
      </c>
      <c r="B97" s="2" t="s">
        <v>132</v>
      </c>
      <c r="C97" s="3">
        <v>6</v>
      </c>
      <c r="D97" s="4">
        <f t="shared" si="1"/>
        <v>58.620689666666664</v>
      </c>
      <c r="E97" s="4">
        <v>351.72413799999998</v>
      </c>
    </row>
    <row r="98" spans="1:5" ht="54" x14ac:dyDescent="0.25">
      <c r="A98" s="1" t="s">
        <v>80</v>
      </c>
      <c r="B98" s="2" t="s">
        <v>133</v>
      </c>
      <c r="C98" s="3">
        <v>10</v>
      </c>
      <c r="D98" s="4">
        <f t="shared" si="1"/>
        <v>34.482758599999997</v>
      </c>
      <c r="E98" s="4">
        <v>344.827586</v>
      </c>
    </row>
    <row r="99" spans="1:5" ht="27" x14ac:dyDescent="0.25">
      <c r="A99" s="1" t="s">
        <v>125</v>
      </c>
      <c r="B99" s="2" t="s">
        <v>134</v>
      </c>
      <c r="C99" s="3">
        <v>1</v>
      </c>
      <c r="D99" s="4">
        <f t="shared" si="1"/>
        <v>343.10344800000001</v>
      </c>
      <c r="E99" s="4">
        <v>343.10344800000001</v>
      </c>
    </row>
    <row r="100" spans="1:5" ht="54" x14ac:dyDescent="0.25">
      <c r="A100" s="1" t="s">
        <v>110</v>
      </c>
      <c r="B100" s="2" t="s">
        <v>135</v>
      </c>
      <c r="C100" s="3">
        <v>4</v>
      </c>
      <c r="D100" s="4">
        <f t="shared" si="1"/>
        <v>80.60344825</v>
      </c>
      <c r="E100" s="4">
        <v>322.413793</v>
      </c>
    </row>
    <row r="101" spans="1:5" ht="54" x14ac:dyDescent="0.25">
      <c r="A101" s="1" t="s">
        <v>5</v>
      </c>
      <c r="B101" s="2" t="s">
        <v>136</v>
      </c>
      <c r="C101" s="3">
        <v>5</v>
      </c>
      <c r="D101" s="4">
        <f t="shared" si="1"/>
        <v>63.793103399999993</v>
      </c>
      <c r="E101" s="4">
        <v>318.96551699999998</v>
      </c>
    </row>
    <row r="102" spans="1:5" ht="40.5" x14ac:dyDescent="0.25">
      <c r="A102" s="1" t="s">
        <v>5</v>
      </c>
      <c r="B102" s="2" t="s">
        <v>137</v>
      </c>
      <c r="C102" s="3">
        <v>4</v>
      </c>
      <c r="D102" s="4">
        <f t="shared" si="1"/>
        <v>79.310344749999999</v>
      </c>
      <c r="E102" s="4">
        <v>317.24137899999999</v>
      </c>
    </row>
    <row r="103" spans="1:5" ht="67.5" x14ac:dyDescent="0.25">
      <c r="A103" s="1" t="s">
        <v>5</v>
      </c>
      <c r="B103" s="2" t="s">
        <v>138</v>
      </c>
      <c r="C103" s="3">
        <v>1</v>
      </c>
      <c r="D103" s="4">
        <f t="shared" si="1"/>
        <v>315.51724100000001</v>
      </c>
      <c r="E103" s="4">
        <v>315.51724100000001</v>
      </c>
    </row>
    <row r="104" spans="1:5" ht="40.5" x14ac:dyDescent="0.25">
      <c r="A104" s="1" t="s">
        <v>5</v>
      </c>
      <c r="B104" s="2" t="s">
        <v>139</v>
      </c>
      <c r="C104" s="3">
        <v>6</v>
      </c>
      <c r="D104" s="4">
        <f t="shared" si="1"/>
        <v>51.724138000000004</v>
      </c>
      <c r="E104" s="4">
        <v>310.34482800000001</v>
      </c>
    </row>
    <row r="105" spans="1:5" ht="54" x14ac:dyDescent="0.25">
      <c r="A105" s="1" t="s">
        <v>5</v>
      </c>
      <c r="B105" s="2" t="s">
        <v>140</v>
      </c>
      <c r="C105" s="3">
        <v>1</v>
      </c>
      <c r="D105" s="4">
        <f t="shared" si="1"/>
        <v>306.03448300000002</v>
      </c>
      <c r="E105" s="4">
        <v>306.03448300000002</v>
      </c>
    </row>
    <row r="106" spans="1:5" ht="40.5" x14ac:dyDescent="0.25">
      <c r="A106" s="1" t="s">
        <v>141</v>
      </c>
      <c r="B106" s="2" t="s">
        <v>142</v>
      </c>
      <c r="C106" s="3">
        <v>4</v>
      </c>
      <c r="D106" s="4">
        <f t="shared" si="1"/>
        <v>75</v>
      </c>
      <c r="E106" s="4">
        <v>300</v>
      </c>
    </row>
    <row r="107" spans="1:5" ht="40.5" x14ac:dyDescent="0.25">
      <c r="A107" s="1" t="s">
        <v>143</v>
      </c>
      <c r="B107" s="2" t="s">
        <v>144</v>
      </c>
      <c r="C107" s="3">
        <v>4</v>
      </c>
      <c r="D107" s="4">
        <f t="shared" si="1"/>
        <v>74.568965500000004</v>
      </c>
      <c r="E107" s="4">
        <v>298.27586200000002</v>
      </c>
    </row>
    <row r="108" spans="1:5" ht="40.5" x14ac:dyDescent="0.25">
      <c r="A108" s="1" t="s">
        <v>64</v>
      </c>
      <c r="B108" s="2" t="s">
        <v>145</v>
      </c>
      <c r="C108" s="3">
        <v>2</v>
      </c>
      <c r="D108" s="4">
        <f t="shared" si="1"/>
        <v>148.27586199999999</v>
      </c>
      <c r="E108" s="4">
        <v>296.55172399999998</v>
      </c>
    </row>
    <row r="109" spans="1:5" ht="40.5" x14ac:dyDescent="0.25">
      <c r="A109" s="1" t="s">
        <v>64</v>
      </c>
      <c r="B109" s="2" t="s">
        <v>146</v>
      </c>
      <c r="C109" s="3">
        <v>2</v>
      </c>
      <c r="D109" s="4">
        <f t="shared" si="1"/>
        <v>146.55172400000001</v>
      </c>
      <c r="E109" s="4">
        <v>293.10344800000001</v>
      </c>
    </row>
    <row r="110" spans="1:5" ht="54" x14ac:dyDescent="0.25">
      <c r="A110" s="1" t="s">
        <v>147</v>
      </c>
      <c r="B110" s="2" t="s">
        <v>148</v>
      </c>
      <c r="C110" s="3">
        <v>3</v>
      </c>
      <c r="D110" s="4">
        <f t="shared" si="1"/>
        <v>96.551723999999993</v>
      </c>
      <c r="E110" s="4">
        <v>289.65517199999999</v>
      </c>
    </row>
    <row r="111" spans="1:5" ht="81" x14ac:dyDescent="0.25">
      <c r="A111" s="1" t="s">
        <v>5</v>
      </c>
      <c r="B111" s="2" t="s">
        <v>149</v>
      </c>
      <c r="C111" s="3">
        <v>2</v>
      </c>
      <c r="D111" s="4">
        <f t="shared" si="1"/>
        <v>137.93103400000001</v>
      </c>
      <c r="E111" s="4">
        <v>275.86206800000002</v>
      </c>
    </row>
    <row r="112" spans="1:5" ht="81" x14ac:dyDescent="0.25">
      <c r="A112" s="1" t="s">
        <v>5</v>
      </c>
      <c r="B112" s="2" t="s">
        <v>150</v>
      </c>
      <c r="C112" s="3">
        <v>13</v>
      </c>
      <c r="D112" s="4">
        <f t="shared" si="1"/>
        <v>20.689655230769233</v>
      </c>
      <c r="E112" s="4">
        <v>268.96551800000003</v>
      </c>
    </row>
    <row r="113" spans="1:5" ht="54" x14ac:dyDescent="0.25">
      <c r="A113" s="1" t="s">
        <v>43</v>
      </c>
      <c r="B113" s="2" t="s">
        <v>151</v>
      </c>
      <c r="C113" s="3">
        <v>3</v>
      </c>
      <c r="D113" s="4">
        <f t="shared" si="1"/>
        <v>89.655172333333326</v>
      </c>
      <c r="E113" s="4">
        <v>268.96551699999998</v>
      </c>
    </row>
    <row r="114" spans="1:5" ht="54" x14ac:dyDescent="0.25">
      <c r="A114" s="1" t="s">
        <v>152</v>
      </c>
      <c r="B114" s="2" t="s">
        <v>153</v>
      </c>
      <c r="C114" s="3">
        <v>4</v>
      </c>
      <c r="D114" s="4">
        <f t="shared" si="1"/>
        <v>64.655172500000006</v>
      </c>
      <c r="E114" s="4">
        <v>258.62069000000002</v>
      </c>
    </row>
    <row r="115" spans="1:5" ht="67.5" x14ac:dyDescent="0.25">
      <c r="A115" s="1" t="s">
        <v>5</v>
      </c>
      <c r="B115" s="2" t="s">
        <v>154</v>
      </c>
      <c r="C115" s="3">
        <v>3</v>
      </c>
      <c r="D115" s="4">
        <f t="shared" si="1"/>
        <v>86.20689666666668</v>
      </c>
      <c r="E115" s="4">
        <v>258.62069000000002</v>
      </c>
    </row>
    <row r="116" spans="1:5" ht="40.5" x14ac:dyDescent="0.25">
      <c r="A116" s="1" t="s">
        <v>5</v>
      </c>
      <c r="B116" s="2" t="s">
        <v>155</v>
      </c>
      <c r="C116" s="3">
        <v>10</v>
      </c>
      <c r="D116" s="4">
        <f t="shared" si="1"/>
        <v>25.862069000000002</v>
      </c>
      <c r="E116" s="4">
        <v>258.62069000000002</v>
      </c>
    </row>
    <row r="117" spans="1:5" ht="67.5" x14ac:dyDescent="0.25">
      <c r="A117" s="1" t="s">
        <v>156</v>
      </c>
      <c r="B117" s="2" t="s">
        <v>157</v>
      </c>
      <c r="C117" s="3">
        <v>4</v>
      </c>
      <c r="D117" s="4">
        <f t="shared" si="1"/>
        <v>63.793103500000001</v>
      </c>
      <c r="E117" s="4">
        <v>255.172414</v>
      </c>
    </row>
    <row r="118" spans="1:5" ht="40.5" x14ac:dyDescent="0.25">
      <c r="A118" s="1" t="s">
        <v>5</v>
      </c>
      <c r="B118" s="2" t="s">
        <v>158</v>
      </c>
      <c r="C118" s="3">
        <v>4</v>
      </c>
      <c r="D118" s="4">
        <f t="shared" si="1"/>
        <v>60.344827500000001</v>
      </c>
      <c r="E118" s="4">
        <v>241.37931</v>
      </c>
    </row>
    <row r="119" spans="1:5" ht="54" x14ac:dyDescent="0.25">
      <c r="A119" s="1" t="s">
        <v>5</v>
      </c>
      <c r="B119" s="2" t="s">
        <v>159</v>
      </c>
      <c r="C119" s="3">
        <v>1</v>
      </c>
      <c r="D119" s="4">
        <f t="shared" si="1"/>
        <v>241.37931</v>
      </c>
      <c r="E119" s="4">
        <v>241.37931</v>
      </c>
    </row>
    <row r="120" spans="1:5" ht="54" x14ac:dyDescent="0.25">
      <c r="A120" s="1" t="s">
        <v>5</v>
      </c>
      <c r="B120" s="2" t="s">
        <v>160</v>
      </c>
      <c r="C120" s="3">
        <v>2</v>
      </c>
      <c r="D120" s="4">
        <f t="shared" si="1"/>
        <v>116.3793105</v>
      </c>
      <c r="E120" s="4">
        <v>232.75862100000001</v>
      </c>
    </row>
    <row r="121" spans="1:5" ht="67.5" x14ac:dyDescent="0.25">
      <c r="A121" s="1" t="s">
        <v>5</v>
      </c>
      <c r="B121" s="2" t="s">
        <v>161</v>
      </c>
      <c r="C121" s="3">
        <v>4</v>
      </c>
      <c r="D121" s="4">
        <f t="shared" si="1"/>
        <v>57.758620749999999</v>
      </c>
      <c r="E121" s="4">
        <v>231.03448299999999</v>
      </c>
    </row>
    <row r="122" spans="1:5" ht="67.5" x14ac:dyDescent="0.25">
      <c r="A122" s="1" t="s">
        <v>5</v>
      </c>
      <c r="B122" s="2" t="s">
        <v>162</v>
      </c>
      <c r="C122" s="3">
        <v>1</v>
      </c>
      <c r="D122" s="4">
        <f t="shared" si="1"/>
        <v>228.44827599999999</v>
      </c>
      <c r="E122" s="4">
        <v>228.44827599999999</v>
      </c>
    </row>
    <row r="123" spans="1:5" ht="67.5" x14ac:dyDescent="0.25">
      <c r="A123" s="1" t="s">
        <v>5</v>
      </c>
      <c r="B123" s="2" t="s">
        <v>163</v>
      </c>
      <c r="C123" s="3">
        <v>2</v>
      </c>
      <c r="D123" s="4">
        <f t="shared" si="1"/>
        <v>113.793103</v>
      </c>
      <c r="E123" s="4">
        <v>227.586206</v>
      </c>
    </row>
    <row r="124" spans="1:5" ht="67.5" x14ac:dyDescent="0.25">
      <c r="A124" s="1" t="s">
        <v>5</v>
      </c>
      <c r="B124" s="2" t="s">
        <v>164</v>
      </c>
      <c r="C124" s="3">
        <v>3</v>
      </c>
      <c r="D124" s="4">
        <f t="shared" si="1"/>
        <v>75</v>
      </c>
      <c r="E124" s="4">
        <v>225</v>
      </c>
    </row>
    <row r="125" spans="1:5" ht="54" x14ac:dyDescent="0.25">
      <c r="A125" s="1" t="s">
        <v>5</v>
      </c>
      <c r="B125" s="2" t="s">
        <v>165</v>
      </c>
      <c r="C125" s="3">
        <v>3</v>
      </c>
      <c r="D125" s="4">
        <f t="shared" si="1"/>
        <v>75</v>
      </c>
      <c r="E125" s="4">
        <v>225</v>
      </c>
    </row>
    <row r="126" spans="1:5" ht="54" x14ac:dyDescent="0.25">
      <c r="A126" s="1" t="s">
        <v>5</v>
      </c>
      <c r="B126" s="2" t="s">
        <v>166</v>
      </c>
      <c r="C126" s="3">
        <v>1</v>
      </c>
      <c r="D126" s="4">
        <f t="shared" si="1"/>
        <v>224.13793100000001</v>
      </c>
      <c r="E126" s="4">
        <v>224.13793100000001</v>
      </c>
    </row>
    <row r="127" spans="1:5" ht="54" x14ac:dyDescent="0.25">
      <c r="A127" s="1" t="s">
        <v>5</v>
      </c>
      <c r="B127" s="2" t="s">
        <v>167</v>
      </c>
      <c r="C127" s="3">
        <v>2</v>
      </c>
      <c r="D127" s="4">
        <f t="shared" si="1"/>
        <v>112.0689655</v>
      </c>
      <c r="E127" s="4">
        <v>224.13793100000001</v>
      </c>
    </row>
    <row r="128" spans="1:5" ht="40.5" x14ac:dyDescent="0.25">
      <c r="A128" s="1" t="s">
        <v>5</v>
      </c>
      <c r="B128" s="2" t="s">
        <v>168</v>
      </c>
      <c r="C128" s="3">
        <v>6</v>
      </c>
      <c r="D128" s="4">
        <f t="shared" si="1"/>
        <v>37.068965499999997</v>
      </c>
      <c r="E128" s="4">
        <v>222.413793</v>
      </c>
    </row>
    <row r="129" spans="1:5" ht="54" x14ac:dyDescent="0.25">
      <c r="A129" s="1" t="s">
        <v>169</v>
      </c>
      <c r="B129" s="2" t="s">
        <v>170</v>
      </c>
      <c r="C129" s="3">
        <v>2</v>
      </c>
      <c r="D129" s="4">
        <f t="shared" si="1"/>
        <v>108.6206895</v>
      </c>
      <c r="E129" s="4">
        <v>217.24137899999999</v>
      </c>
    </row>
    <row r="130" spans="1:5" ht="40.5" x14ac:dyDescent="0.25">
      <c r="A130" s="1" t="s">
        <v>66</v>
      </c>
      <c r="B130" s="2" t="s">
        <v>171</v>
      </c>
      <c r="C130" s="3">
        <v>5</v>
      </c>
      <c r="D130" s="4">
        <f t="shared" ref="D130:D193" si="2">IFERROR(E130/C130,0)</f>
        <v>43.103448200000003</v>
      </c>
      <c r="E130" s="4">
        <v>215.51724100000001</v>
      </c>
    </row>
    <row r="131" spans="1:5" ht="54" x14ac:dyDescent="0.25">
      <c r="A131" s="1" t="s">
        <v>169</v>
      </c>
      <c r="B131" s="2" t="s">
        <v>172</v>
      </c>
      <c r="C131" s="3">
        <v>2</v>
      </c>
      <c r="D131" s="4">
        <f t="shared" si="2"/>
        <v>106.8965515</v>
      </c>
      <c r="E131" s="4">
        <v>213.793103</v>
      </c>
    </row>
    <row r="132" spans="1:5" ht="81" x14ac:dyDescent="0.25">
      <c r="A132" s="1" t="s">
        <v>173</v>
      </c>
      <c r="B132" s="2" t="s">
        <v>174</v>
      </c>
      <c r="C132" s="3">
        <v>1</v>
      </c>
      <c r="D132" s="4">
        <f t="shared" si="2"/>
        <v>212.93103400000001</v>
      </c>
      <c r="E132" s="4">
        <v>212.93103400000001</v>
      </c>
    </row>
    <row r="133" spans="1:5" ht="40.5" x14ac:dyDescent="0.25">
      <c r="A133" s="1" t="s">
        <v>5</v>
      </c>
      <c r="B133" s="2" t="s">
        <v>175</v>
      </c>
      <c r="C133" s="3">
        <v>9</v>
      </c>
      <c r="D133" s="4">
        <f t="shared" si="2"/>
        <v>23.275862</v>
      </c>
      <c r="E133" s="4">
        <v>209.48275799999999</v>
      </c>
    </row>
    <row r="134" spans="1:5" ht="54" x14ac:dyDescent="0.25">
      <c r="A134" s="1" t="s">
        <v>5</v>
      </c>
      <c r="B134" s="2" t="s">
        <v>176</v>
      </c>
      <c r="C134" s="3">
        <v>1</v>
      </c>
      <c r="D134" s="4">
        <f t="shared" si="2"/>
        <v>206.89655200000001</v>
      </c>
      <c r="E134" s="4">
        <v>206.89655200000001</v>
      </c>
    </row>
    <row r="135" spans="1:5" ht="54" x14ac:dyDescent="0.25">
      <c r="A135" s="1" t="s">
        <v>5</v>
      </c>
      <c r="B135" s="2" t="s">
        <v>177</v>
      </c>
      <c r="C135" s="3">
        <v>1</v>
      </c>
      <c r="D135" s="4">
        <f t="shared" si="2"/>
        <v>206.89655200000001</v>
      </c>
      <c r="E135" s="4">
        <v>206.89655200000001</v>
      </c>
    </row>
    <row r="136" spans="1:5" ht="67.5" x14ac:dyDescent="0.25">
      <c r="A136" s="1" t="s">
        <v>5</v>
      </c>
      <c r="B136" s="2" t="s">
        <v>178</v>
      </c>
      <c r="C136" s="3">
        <v>1</v>
      </c>
      <c r="D136" s="4">
        <f t="shared" si="2"/>
        <v>200.86206899999999</v>
      </c>
      <c r="E136" s="4">
        <v>200.86206899999999</v>
      </c>
    </row>
    <row r="137" spans="1:5" ht="54" x14ac:dyDescent="0.25">
      <c r="A137" s="1" t="s">
        <v>5</v>
      </c>
      <c r="B137" s="2" t="s">
        <v>179</v>
      </c>
      <c r="C137" s="3">
        <v>7</v>
      </c>
      <c r="D137" s="4">
        <f t="shared" si="2"/>
        <v>28.448275857142853</v>
      </c>
      <c r="E137" s="4">
        <v>199.13793099999998</v>
      </c>
    </row>
    <row r="138" spans="1:5" ht="40.5" x14ac:dyDescent="0.25">
      <c r="A138" s="1" t="s">
        <v>5</v>
      </c>
      <c r="B138" s="2" t="s">
        <v>180</v>
      </c>
      <c r="C138" s="3">
        <v>5</v>
      </c>
      <c r="D138" s="4">
        <f t="shared" si="2"/>
        <v>39.655172399999998</v>
      </c>
      <c r="E138" s="4">
        <v>198.27586199999999</v>
      </c>
    </row>
    <row r="139" spans="1:5" ht="40.5" x14ac:dyDescent="0.25">
      <c r="A139" s="1" t="s">
        <v>5</v>
      </c>
      <c r="B139" s="2" t="s">
        <v>181</v>
      </c>
      <c r="C139" s="3">
        <v>5</v>
      </c>
      <c r="D139" s="4">
        <f t="shared" si="2"/>
        <v>39.655172399999998</v>
      </c>
      <c r="E139" s="4">
        <v>198.27586199999999</v>
      </c>
    </row>
    <row r="140" spans="1:5" ht="54" x14ac:dyDescent="0.25">
      <c r="A140" s="1" t="s">
        <v>5</v>
      </c>
      <c r="B140" s="2" t="s">
        <v>182</v>
      </c>
      <c r="C140" s="3">
        <v>2</v>
      </c>
      <c r="D140" s="4">
        <f t="shared" si="2"/>
        <v>99.137930999999995</v>
      </c>
      <c r="E140" s="4">
        <v>198.27586199999999</v>
      </c>
    </row>
    <row r="141" spans="1:5" ht="67.5" x14ac:dyDescent="0.25">
      <c r="A141" s="1" t="s">
        <v>5</v>
      </c>
      <c r="B141" s="2" t="s">
        <v>183</v>
      </c>
      <c r="C141" s="3">
        <v>2</v>
      </c>
      <c r="D141" s="4">
        <f t="shared" si="2"/>
        <v>99.137930999999995</v>
      </c>
      <c r="E141" s="4">
        <v>198.27586199999999</v>
      </c>
    </row>
    <row r="142" spans="1:5" ht="54" x14ac:dyDescent="0.25">
      <c r="A142" s="1" t="s">
        <v>5</v>
      </c>
      <c r="B142" s="2" t="s">
        <v>184</v>
      </c>
      <c r="C142" s="3">
        <v>9</v>
      </c>
      <c r="D142" s="4">
        <f t="shared" si="2"/>
        <v>21.551724111111113</v>
      </c>
      <c r="E142" s="4">
        <v>193.96551700000001</v>
      </c>
    </row>
    <row r="143" spans="1:5" ht="81" x14ac:dyDescent="0.25">
      <c r="A143" s="1" t="s">
        <v>5</v>
      </c>
      <c r="B143" s="2" t="s">
        <v>185</v>
      </c>
      <c r="C143" s="3">
        <v>3</v>
      </c>
      <c r="D143" s="4">
        <f t="shared" si="2"/>
        <v>64.65517233333334</v>
      </c>
      <c r="E143" s="4">
        <v>193.96551700000001</v>
      </c>
    </row>
    <row r="144" spans="1:5" ht="54" x14ac:dyDescent="0.25">
      <c r="A144" s="1" t="s">
        <v>147</v>
      </c>
      <c r="B144" s="2" t="s">
        <v>186</v>
      </c>
      <c r="C144" s="3">
        <v>2</v>
      </c>
      <c r="D144" s="4">
        <f t="shared" si="2"/>
        <v>96.551723999999993</v>
      </c>
      <c r="E144" s="4">
        <v>193.10344799999999</v>
      </c>
    </row>
    <row r="145" spans="1:5" ht="67.5" x14ac:dyDescent="0.25">
      <c r="A145" s="1" t="s">
        <v>5</v>
      </c>
      <c r="B145" s="2" t="s">
        <v>187</v>
      </c>
      <c r="C145" s="3">
        <v>3</v>
      </c>
      <c r="D145" s="4">
        <f t="shared" si="2"/>
        <v>63.793103333333335</v>
      </c>
      <c r="E145" s="4">
        <v>191.37931</v>
      </c>
    </row>
    <row r="146" spans="1:5" ht="67.5" x14ac:dyDescent="0.25">
      <c r="A146" s="1" t="s">
        <v>5</v>
      </c>
      <c r="B146" s="2" t="s">
        <v>188</v>
      </c>
      <c r="C146" s="3">
        <v>1</v>
      </c>
      <c r="D146" s="4">
        <f t="shared" si="2"/>
        <v>189.65517199999999</v>
      </c>
      <c r="E146" s="4">
        <v>189.65517199999999</v>
      </c>
    </row>
    <row r="147" spans="1:5" ht="40.5" x14ac:dyDescent="0.25">
      <c r="A147" s="1" t="s">
        <v>107</v>
      </c>
      <c r="B147" s="2" t="s">
        <v>189</v>
      </c>
      <c r="C147" s="3">
        <v>20</v>
      </c>
      <c r="D147" s="4">
        <f t="shared" si="2"/>
        <v>9.4827586000000004</v>
      </c>
      <c r="E147" s="4">
        <v>189.65517199999999</v>
      </c>
    </row>
    <row r="148" spans="1:5" ht="67.5" x14ac:dyDescent="0.25">
      <c r="A148" s="1" t="s">
        <v>5</v>
      </c>
      <c r="B148" s="2" t="s">
        <v>190</v>
      </c>
      <c r="C148" s="3">
        <v>2</v>
      </c>
      <c r="D148" s="4">
        <f t="shared" si="2"/>
        <v>93.103448499999999</v>
      </c>
      <c r="E148" s="4">
        <v>186.206897</v>
      </c>
    </row>
    <row r="149" spans="1:5" ht="40.5" x14ac:dyDescent="0.25">
      <c r="A149" s="1" t="s">
        <v>5</v>
      </c>
      <c r="B149" s="2" t="s">
        <v>191</v>
      </c>
      <c r="C149" s="3">
        <v>2</v>
      </c>
      <c r="D149" s="4">
        <f t="shared" si="2"/>
        <v>90.517241499999997</v>
      </c>
      <c r="E149" s="4">
        <v>181.03448299999999</v>
      </c>
    </row>
    <row r="150" spans="1:5" ht="67.5" x14ac:dyDescent="0.25">
      <c r="A150" s="1" t="s">
        <v>5</v>
      </c>
      <c r="B150" s="2" t="s">
        <v>192</v>
      </c>
      <c r="C150" s="3">
        <v>1</v>
      </c>
      <c r="D150" s="4">
        <f t="shared" si="2"/>
        <v>178.44827599999999</v>
      </c>
      <c r="E150" s="4">
        <v>178.44827599999999</v>
      </c>
    </row>
    <row r="151" spans="1:5" ht="54" x14ac:dyDescent="0.25">
      <c r="A151" s="1" t="s">
        <v>5</v>
      </c>
      <c r="B151" s="2" t="s">
        <v>193</v>
      </c>
      <c r="C151" s="3">
        <v>1</v>
      </c>
      <c r="D151" s="4">
        <f t="shared" si="2"/>
        <v>178.44827599999999</v>
      </c>
      <c r="E151" s="4">
        <v>178.44827599999999</v>
      </c>
    </row>
    <row r="152" spans="1:5" ht="54" x14ac:dyDescent="0.25">
      <c r="A152" s="1" t="s">
        <v>80</v>
      </c>
      <c r="B152" s="2" t="s">
        <v>194</v>
      </c>
      <c r="C152" s="3">
        <v>5</v>
      </c>
      <c r="D152" s="4">
        <f t="shared" si="2"/>
        <v>34.482758599999997</v>
      </c>
      <c r="E152" s="4">
        <v>172.413793</v>
      </c>
    </row>
    <row r="153" spans="1:5" ht="40.5" x14ac:dyDescent="0.25">
      <c r="A153" s="1" t="s">
        <v>5</v>
      </c>
      <c r="B153" s="2" t="s">
        <v>195</v>
      </c>
      <c r="C153" s="3">
        <v>11</v>
      </c>
      <c r="D153" s="4">
        <f t="shared" si="2"/>
        <v>15.517241363636366</v>
      </c>
      <c r="E153" s="4">
        <v>170.68965500000002</v>
      </c>
    </row>
    <row r="154" spans="1:5" ht="54" x14ac:dyDescent="0.25">
      <c r="A154" s="1" t="s">
        <v>5</v>
      </c>
      <c r="B154" s="2" t="s">
        <v>196</v>
      </c>
      <c r="C154" s="3">
        <v>5</v>
      </c>
      <c r="D154" s="4">
        <f t="shared" si="2"/>
        <v>33.620689599999999</v>
      </c>
      <c r="E154" s="4">
        <v>168.10344799999999</v>
      </c>
    </row>
    <row r="155" spans="1:5" ht="40.5" x14ac:dyDescent="0.25">
      <c r="A155" s="1" t="s">
        <v>5</v>
      </c>
      <c r="B155" s="2" t="s">
        <v>197</v>
      </c>
      <c r="C155" s="3">
        <v>1</v>
      </c>
      <c r="D155" s="4">
        <f t="shared" si="2"/>
        <v>166.37931</v>
      </c>
      <c r="E155" s="4">
        <v>166.37931</v>
      </c>
    </row>
    <row r="156" spans="1:5" ht="81" x14ac:dyDescent="0.25">
      <c r="A156" s="1" t="s">
        <v>5</v>
      </c>
      <c r="B156" s="2" t="s">
        <v>198</v>
      </c>
      <c r="C156" s="3">
        <v>1</v>
      </c>
      <c r="D156" s="4">
        <f t="shared" si="2"/>
        <v>155.172414</v>
      </c>
      <c r="E156" s="4">
        <v>155.172414</v>
      </c>
    </row>
    <row r="157" spans="1:5" ht="54" x14ac:dyDescent="0.25">
      <c r="A157" s="1" t="s">
        <v>5</v>
      </c>
      <c r="B157" s="2" t="s">
        <v>199</v>
      </c>
      <c r="C157" s="3">
        <v>5</v>
      </c>
      <c r="D157" s="4">
        <f t="shared" si="2"/>
        <v>31.034482799999999</v>
      </c>
      <c r="E157" s="4">
        <v>155.172414</v>
      </c>
    </row>
    <row r="158" spans="1:5" ht="54" x14ac:dyDescent="0.25">
      <c r="A158" s="1" t="s">
        <v>5</v>
      </c>
      <c r="B158" s="2" t="s">
        <v>200</v>
      </c>
      <c r="C158" s="3">
        <v>1</v>
      </c>
      <c r="D158" s="4">
        <f t="shared" si="2"/>
        <v>155.172414</v>
      </c>
      <c r="E158" s="4">
        <v>155.172414</v>
      </c>
    </row>
    <row r="159" spans="1:5" ht="67.5" x14ac:dyDescent="0.25">
      <c r="A159" s="1" t="s">
        <v>5</v>
      </c>
      <c r="B159" s="2" t="s">
        <v>201</v>
      </c>
      <c r="C159" s="3">
        <v>2</v>
      </c>
      <c r="D159" s="4">
        <f t="shared" si="2"/>
        <v>77.586207000000002</v>
      </c>
      <c r="E159" s="4">
        <v>155.172414</v>
      </c>
    </row>
    <row r="160" spans="1:5" ht="67.5" x14ac:dyDescent="0.25">
      <c r="A160" s="1" t="s">
        <v>5</v>
      </c>
      <c r="B160" s="2" t="s">
        <v>202</v>
      </c>
      <c r="C160" s="3">
        <v>2</v>
      </c>
      <c r="D160" s="4">
        <f t="shared" si="2"/>
        <v>75</v>
      </c>
      <c r="E160" s="4">
        <v>150</v>
      </c>
    </row>
    <row r="161" spans="1:5" ht="40.5" x14ac:dyDescent="0.25">
      <c r="A161" s="1" t="s">
        <v>5</v>
      </c>
      <c r="B161" s="2" t="s">
        <v>203</v>
      </c>
      <c r="C161" s="3">
        <v>4</v>
      </c>
      <c r="D161" s="4">
        <f t="shared" si="2"/>
        <v>37.068965499999997</v>
      </c>
      <c r="E161" s="4">
        <v>148.27586199999999</v>
      </c>
    </row>
    <row r="162" spans="1:5" ht="54" x14ac:dyDescent="0.25">
      <c r="A162" s="1" t="s">
        <v>204</v>
      </c>
      <c r="B162" s="2" t="s">
        <v>205</v>
      </c>
      <c r="C162" s="3">
        <v>10</v>
      </c>
      <c r="D162" s="4">
        <f t="shared" si="2"/>
        <v>14.655172400000001</v>
      </c>
      <c r="E162" s="4">
        <v>146.55172400000001</v>
      </c>
    </row>
    <row r="163" spans="1:5" ht="27" x14ac:dyDescent="0.25">
      <c r="A163" s="1" t="s">
        <v>69</v>
      </c>
      <c r="B163" s="2" t="s">
        <v>206</v>
      </c>
      <c r="C163" s="3">
        <v>3</v>
      </c>
      <c r="D163" s="4">
        <f t="shared" si="2"/>
        <v>47.413792999999998</v>
      </c>
      <c r="E163" s="4">
        <v>142.24137899999999</v>
      </c>
    </row>
    <row r="164" spans="1:5" ht="67.5" x14ac:dyDescent="0.25">
      <c r="A164" s="1" t="s">
        <v>5</v>
      </c>
      <c r="B164" s="2" t="s">
        <v>207</v>
      </c>
      <c r="C164" s="3">
        <v>4</v>
      </c>
      <c r="D164" s="4">
        <f t="shared" si="2"/>
        <v>34.482758500000003</v>
      </c>
      <c r="E164" s="4">
        <v>137.93103400000001</v>
      </c>
    </row>
    <row r="165" spans="1:5" ht="54" x14ac:dyDescent="0.25">
      <c r="A165" s="1" t="s">
        <v>5</v>
      </c>
      <c r="B165" s="2" t="s">
        <v>208</v>
      </c>
      <c r="C165" s="3">
        <v>1</v>
      </c>
      <c r="D165" s="4">
        <f t="shared" si="2"/>
        <v>137.06896599999999</v>
      </c>
      <c r="E165" s="4">
        <v>137.06896599999999</v>
      </c>
    </row>
    <row r="166" spans="1:5" ht="40.5" x14ac:dyDescent="0.25">
      <c r="A166" s="1" t="s">
        <v>5</v>
      </c>
      <c r="B166" s="2" t="s">
        <v>209</v>
      </c>
      <c r="C166" s="3">
        <v>1</v>
      </c>
      <c r="D166" s="4">
        <f t="shared" si="2"/>
        <v>137.06896599999999</v>
      </c>
      <c r="E166" s="4">
        <v>137.06896599999999</v>
      </c>
    </row>
    <row r="167" spans="1:5" ht="40.5" x14ac:dyDescent="0.25">
      <c r="A167" s="1" t="s">
        <v>60</v>
      </c>
      <c r="B167" s="2" t="s">
        <v>210</v>
      </c>
      <c r="C167" s="3">
        <v>15</v>
      </c>
      <c r="D167" s="4">
        <f t="shared" si="2"/>
        <v>8.6206896666666673</v>
      </c>
      <c r="E167" s="4">
        <v>129.31034500000001</v>
      </c>
    </row>
    <row r="168" spans="1:5" ht="67.5" x14ac:dyDescent="0.25">
      <c r="A168" s="1" t="s">
        <v>5</v>
      </c>
      <c r="B168" s="2" t="s">
        <v>211</v>
      </c>
      <c r="C168" s="3">
        <v>5</v>
      </c>
      <c r="D168" s="4">
        <f t="shared" si="2"/>
        <v>25.862069000000002</v>
      </c>
      <c r="E168" s="4">
        <v>129.31034500000001</v>
      </c>
    </row>
    <row r="169" spans="1:5" ht="67.5" x14ac:dyDescent="0.25">
      <c r="A169" s="1" t="s">
        <v>5</v>
      </c>
      <c r="B169" s="2" t="s">
        <v>212</v>
      </c>
      <c r="C169" s="3">
        <v>1</v>
      </c>
      <c r="D169" s="4">
        <f t="shared" si="2"/>
        <v>129.31034500000001</v>
      </c>
      <c r="E169" s="4">
        <v>129.31034500000001</v>
      </c>
    </row>
    <row r="170" spans="1:5" ht="54" x14ac:dyDescent="0.25">
      <c r="A170" s="1" t="s">
        <v>5</v>
      </c>
      <c r="B170" s="2" t="s">
        <v>213</v>
      </c>
      <c r="C170" s="3">
        <v>10</v>
      </c>
      <c r="D170" s="4">
        <f t="shared" si="2"/>
        <v>12.931034399999998</v>
      </c>
      <c r="E170" s="4">
        <v>129.31034399999999</v>
      </c>
    </row>
    <row r="171" spans="1:5" ht="81" x14ac:dyDescent="0.25">
      <c r="A171" s="1" t="s">
        <v>5</v>
      </c>
      <c r="B171" s="2" t="s">
        <v>214</v>
      </c>
      <c r="C171" s="3">
        <v>1</v>
      </c>
      <c r="D171" s="4">
        <f t="shared" si="2"/>
        <v>126.724138</v>
      </c>
      <c r="E171" s="4">
        <v>126.724138</v>
      </c>
    </row>
    <row r="172" spans="1:5" ht="54" x14ac:dyDescent="0.25">
      <c r="A172" s="1" t="s">
        <v>215</v>
      </c>
      <c r="B172" s="2" t="s">
        <v>216</v>
      </c>
      <c r="C172" s="3">
        <v>36</v>
      </c>
      <c r="D172" s="4">
        <f t="shared" si="2"/>
        <v>3.4482758611111115</v>
      </c>
      <c r="E172" s="4">
        <v>124.13793100000001</v>
      </c>
    </row>
    <row r="173" spans="1:5" ht="81" x14ac:dyDescent="0.25">
      <c r="A173" s="1" t="s">
        <v>5</v>
      </c>
      <c r="B173" s="2" t="s">
        <v>217</v>
      </c>
      <c r="C173" s="3">
        <v>4</v>
      </c>
      <c r="D173" s="4">
        <f t="shared" si="2"/>
        <v>31.034482749999999</v>
      </c>
      <c r="E173" s="4">
        <v>124.13793099999999</v>
      </c>
    </row>
    <row r="174" spans="1:5" ht="54" x14ac:dyDescent="0.25">
      <c r="A174" s="1" t="s">
        <v>218</v>
      </c>
      <c r="B174" s="2" t="s">
        <v>219</v>
      </c>
      <c r="C174" s="3">
        <v>12</v>
      </c>
      <c r="D174" s="4">
        <f t="shared" si="2"/>
        <v>10.344827583333332</v>
      </c>
      <c r="E174" s="4">
        <v>124.13793099999999</v>
      </c>
    </row>
    <row r="175" spans="1:5" ht="40.5" x14ac:dyDescent="0.25">
      <c r="A175" s="1" t="s">
        <v>16</v>
      </c>
      <c r="B175" s="2" t="s">
        <v>220</v>
      </c>
      <c r="C175" s="3">
        <v>2</v>
      </c>
      <c r="D175" s="4">
        <f t="shared" si="2"/>
        <v>60.344827500000001</v>
      </c>
      <c r="E175" s="4">
        <v>120.689655</v>
      </c>
    </row>
    <row r="176" spans="1:5" ht="54" x14ac:dyDescent="0.25">
      <c r="A176" s="1" t="s">
        <v>5</v>
      </c>
      <c r="B176" s="2" t="s">
        <v>221</v>
      </c>
      <c r="C176" s="3">
        <v>2</v>
      </c>
      <c r="D176" s="4">
        <f t="shared" si="2"/>
        <v>60.344827500000001</v>
      </c>
      <c r="E176" s="4">
        <v>120.689655</v>
      </c>
    </row>
    <row r="177" spans="1:5" ht="67.5" x14ac:dyDescent="0.25">
      <c r="A177" s="1" t="s">
        <v>5</v>
      </c>
      <c r="B177" s="2" t="s">
        <v>222</v>
      </c>
      <c r="C177" s="3">
        <v>2</v>
      </c>
      <c r="D177" s="4">
        <f t="shared" si="2"/>
        <v>57.758620499999999</v>
      </c>
      <c r="E177" s="4">
        <v>115.517241</v>
      </c>
    </row>
    <row r="178" spans="1:5" ht="67.5" x14ac:dyDescent="0.25">
      <c r="A178" s="1" t="s">
        <v>5</v>
      </c>
      <c r="B178" s="2" t="s">
        <v>223</v>
      </c>
      <c r="C178" s="3">
        <v>2</v>
      </c>
      <c r="D178" s="4">
        <f t="shared" si="2"/>
        <v>57.758620499999999</v>
      </c>
      <c r="E178" s="4">
        <v>115.517241</v>
      </c>
    </row>
    <row r="179" spans="1:5" ht="54" x14ac:dyDescent="0.25">
      <c r="A179" s="1" t="s">
        <v>5</v>
      </c>
      <c r="B179" s="2" t="s">
        <v>224</v>
      </c>
      <c r="C179" s="3">
        <v>2</v>
      </c>
      <c r="D179" s="4">
        <f t="shared" si="2"/>
        <v>56.896552</v>
      </c>
      <c r="E179" s="4">
        <v>113.793104</v>
      </c>
    </row>
    <row r="180" spans="1:5" ht="40.5" x14ac:dyDescent="0.25">
      <c r="A180" s="1" t="s">
        <v>53</v>
      </c>
      <c r="B180" s="2" t="s">
        <v>225</v>
      </c>
      <c r="C180" s="3">
        <v>12</v>
      </c>
      <c r="D180" s="4">
        <f t="shared" si="2"/>
        <v>9.4827585833333341</v>
      </c>
      <c r="E180" s="4">
        <v>113.793103</v>
      </c>
    </row>
    <row r="181" spans="1:5" ht="40.5" x14ac:dyDescent="0.25">
      <c r="A181" s="1" t="s">
        <v>5</v>
      </c>
      <c r="B181" s="2" t="s">
        <v>226</v>
      </c>
      <c r="C181" s="3">
        <v>2</v>
      </c>
      <c r="D181" s="4">
        <f t="shared" si="2"/>
        <v>56.896551500000001</v>
      </c>
      <c r="E181" s="4">
        <v>113.793103</v>
      </c>
    </row>
    <row r="182" spans="1:5" ht="54" x14ac:dyDescent="0.25">
      <c r="A182" s="1" t="s">
        <v>5</v>
      </c>
      <c r="B182" s="2" t="s">
        <v>227</v>
      </c>
      <c r="C182" s="3">
        <v>9</v>
      </c>
      <c r="D182" s="4">
        <f t="shared" si="2"/>
        <v>12.068965666666665</v>
      </c>
      <c r="E182" s="4">
        <v>108.62069099999999</v>
      </c>
    </row>
    <row r="183" spans="1:5" ht="81" x14ac:dyDescent="0.25">
      <c r="A183" s="1" t="s">
        <v>5</v>
      </c>
      <c r="B183" s="2" t="s">
        <v>228</v>
      </c>
      <c r="C183" s="3">
        <v>4</v>
      </c>
      <c r="D183" s="4">
        <f t="shared" si="2"/>
        <v>25.862069000000002</v>
      </c>
      <c r="E183" s="4">
        <v>103.44827600000001</v>
      </c>
    </row>
    <row r="184" spans="1:5" ht="54" x14ac:dyDescent="0.25">
      <c r="A184" s="1" t="s">
        <v>204</v>
      </c>
      <c r="B184" s="2" t="s">
        <v>229</v>
      </c>
      <c r="C184" s="3">
        <v>10</v>
      </c>
      <c r="D184" s="4">
        <f t="shared" si="2"/>
        <v>10.3448276</v>
      </c>
      <c r="E184" s="4">
        <v>103.44827600000001</v>
      </c>
    </row>
    <row r="185" spans="1:5" ht="40.5" x14ac:dyDescent="0.25">
      <c r="A185" s="1" t="s">
        <v>5</v>
      </c>
      <c r="B185" s="2" t="s">
        <v>230</v>
      </c>
      <c r="C185" s="3">
        <v>2</v>
      </c>
      <c r="D185" s="4">
        <f t="shared" si="2"/>
        <v>51.724138000000004</v>
      </c>
      <c r="E185" s="4">
        <v>103.44827600000001</v>
      </c>
    </row>
    <row r="186" spans="1:5" ht="81" x14ac:dyDescent="0.25">
      <c r="A186" s="1" t="s">
        <v>5</v>
      </c>
      <c r="B186" s="2" t="s">
        <v>231</v>
      </c>
      <c r="C186" s="3">
        <v>1</v>
      </c>
      <c r="D186" s="4">
        <f t="shared" si="2"/>
        <v>102.586207</v>
      </c>
      <c r="E186" s="4">
        <v>102.586207</v>
      </c>
    </row>
    <row r="187" spans="1:5" ht="67.5" x14ac:dyDescent="0.25">
      <c r="A187" s="1" t="s">
        <v>5</v>
      </c>
      <c r="B187" s="2" t="s">
        <v>232</v>
      </c>
      <c r="C187" s="3">
        <v>1</v>
      </c>
      <c r="D187" s="4">
        <f t="shared" si="2"/>
        <v>99.137930999999995</v>
      </c>
      <c r="E187" s="4">
        <v>99.137930999999995</v>
      </c>
    </row>
    <row r="188" spans="1:5" ht="67.5" x14ac:dyDescent="0.25">
      <c r="A188" s="1" t="s">
        <v>5</v>
      </c>
      <c r="B188" s="2" t="s">
        <v>233</v>
      </c>
      <c r="C188" s="3">
        <v>1</v>
      </c>
      <c r="D188" s="4">
        <f t="shared" si="2"/>
        <v>96.551723999999993</v>
      </c>
      <c r="E188" s="4">
        <v>96.551723999999993</v>
      </c>
    </row>
    <row r="189" spans="1:5" ht="54" x14ac:dyDescent="0.25">
      <c r="A189" s="1" t="s">
        <v>5</v>
      </c>
      <c r="B189" s="2" t="s">
        <v>234</v>
      </c>
      <c r="C189" s="3">
        <v>3</v>
      </c>
      <c r="D189" s="4">
        <f t="shared" si="2"/>
        <v>31.896551666666667</v>
      </c>
      <c r="E189" s="4">
        <v>95.689655000000002</v>
      </c>
    </row>
    <row r="190" spans="1:5" ht="54" x14ac:dyDescent="0.25">
      <c r="A190" s="1" t="s">
        <v>5</v>
      </c>
      <c r="B190" s="2" t="s">
        <v>235</v>
      </c>
      <c r="C190" s="3">
        <v>1</v>
      </c>
      <c r="D190" s="4">
        <f t="shared" si="2"/>
        <v>94.827585999999997</v>
      </c>
      <c r="E190" s="4">
        <v>94.827585999999997</v>
      </c>
    </row>
    <row r="191" spans="1:5" ht="54" x14ac:dyDescent="0.25">
      <c r="A191" s="1" t="s">
        <v>60</v>
      </c>
      <c r="B191" s="2" t="s">
        <v>236</v>
      </c>
      <c r="C191" s="3">
        <v>9</v>
      </c>
      <c r="D191" s="4">
        <f t="shared" si="2"/>
        <v>10.344827666666667</v>
      </c>
      <c r="E191" s="4">
        <v>93.103449000000012</v>
      </c>
    </row>
    <row r="192" spans="1:5" ht="67.5" x14ac:dyDescent="0.25">
      <c r="A192" s="1" t="s">
        <v>5</v>
      </c>
      <c r="B192" s="2" t="s">
        <v>237</v>
      </c>
      <c r="C192" s="3">
        <v>1</v>
      </c>
      <c r="D192" s="4">
        <f t="shared" si="2"/>
        <v>91.379310000000004</v>
      </c>
      <c r="E192" s="4">
        <v>91.379310000000004</v>
      </c>
    </row>
    <row r="193" spans="1:5" ht="54" x14ac:dyDescent="0.25">
      <c r="A193" s="1" t="s">
        <v>5</v>
      </c>
      <c r="B193" s="2" t="s">
        <v>238</v>
      </c>
      <c r="C193" s="3">
        <v>1</v>
      </c>
      <c r="D193" s="4">
        <f t="shared" si="2"/>
        <v>90.517240999999999</v>
      </c>
      <c r="E193" s="4">
        <v>90.517240999999999</v>
      </c>
    </row>
    <row r="194" spans="1:5" ht="27" x14ac:dyDescent="0.25">
      <c r="A194" s="1" t="s">
        <v>5</v>
      </c>
      <c r="B194" s="2" t="s">
        <v>239</v>
      </c>
      <c r="C194" s="3">
        <v>1</v>
      </c>
      <c r="D194" s="4">
        <f t="shared" ref="D194:D257" si="3">IFERROR(E194/C194,0)</f>
        <v>90.517240999999999</v>
      </c>
      <c r="E194" s="4">
        <v>90.517240999999999</v>
      </c>
    </row>
    <row r="195" spans="1:5" ht="54" x14ac:dyDescent="0.25">
      <c r="A195" s="1" t="s">
        <v>5</v>
      </c>
      <c r="B195" s="2" t="s">
        <v>240</v>
      </c>
      <c r="C195" s="3">
        <v>2</v>
      </c>
      <c r="D195" s="4">
        <f t="shared" si="3"/>
        <v>44.827585999999997</v>
      </c>
      <c r="E195" s="4">
        <v>89.655171999999993</v>
      </c>
    </row>
    <row r="196" spans="1:5" ht="40.5" x14ac:dyDescent="0.25">
      <c r="A196" s="1" t="s">
        <v>69</v>
      </c>
      <c r="B196" s="2" t="s">
        <v>241</v>
      </c>
      <c r="C196" s="3">
        <v>1</v>
      </c>
      <c r="D196" s="4">
        <f t="shared" si="3"/>
        <v>86.206896999999998</v>
      </c>
      <c r="E196" s="4">
        <v>86.206896999999998</v>
      </c>
    </row>
    <row r="197" spans="1:5" ht="40.5" x14ac:dyDescent="0.25">
      <c r="A197" s="1" t="s">
        <v>5</v>
      </c>
      <c r="B197" s="2" t="s">
        <v>242</v>
      </c>
      <c r="C197" s="3">
        <v>1</v>
      </c>
      <c r="D197" s="4">
        <f t="shared" si="3"/>
        <v>86.206896999999998</v>
      </c>
      <c r="E197" s="4">
        <v>86.206896999999998</v>
      </c>
    </row>
    <row r="198" spans="1:5" ht="54" x14ac:dyDescent="0.25">
      <c r="A198" s="1" t="s">
        <v>16</v>
      </c>
      <c r="B198" s="2" t="s">
        <v>243</v>
      </c>
      <c r="C198" s="3">
        <v>1</v>
      </c>
      <c r="D198" s="4">
        <f t="shared" si="3"/>
        <v>86.206896999999998</v>
      </c>
      <c r="E198" s="4">
        <v>86.206896999999998</v>
      </c>
    </row>
    <row r="199" spans="1:5" ht="54" x14ac:dyDescent="0.25">
      <c r="A199" s="1" t="s">
        <v>5</v>
      </c>
      <c r="B199" s="2" t="s">
        <v>244</v>
      </c>
      <c r="C199" s="3">
        <v>10</v>
      </c>
      <c r="D199" s="4">
        <f t="shared" si="3"/>
        <v>8.6206896999999998</v>
      </c>
      <c r="E199" s="4">
        <v>86.206896999999998</v>
      </c>
    </row>
    <row r="200" spans="1:5" ht="54" x14ac:dyDescent="0.25">
      <c r="A200" s="1" t="s">
        <v>5</v>
      </c>
      <c r="B200" s="2" t="s">
        <v>245</v>
      </c>
      <c r="C200" s="3">
        <v>1</v>
      </c>
      <c r="D200" s="4">
        <f t="shared" si="3"/>
        <v>86.206896999999998</v>
      </c>
      <c r="E200" s="4">
        <v>86.206896999999998</v>
      </c>
    </row>
    <row r="201" spans="1:5" ht="67.5" x14ac:dyDescent="0.25">
      <c r="A201" s="1" t="s">
        <v>5</v>
      </c>
      <c r="B201" s="2" t="s">
        <v>246</v>
      </c>
      <c r="C201" s="3">
        <v>2</v>
      </c>
      <c r="D201" s="4">
        <f t="shared" si="3"/>
        <v>43.103448</v>
      </c>
      <c r="E201" s="4">
        <v>86.206896</v>
      </c>
    </row>
    <row r="202" spans="1:5" ht="67.5" x14ac:dyDescent="0.25">
      <c r="A202" s="1" t="s">
        <v>5</v>
      </c>
      <c r="B202" s="2" t="s">
        <v>247</v>
      </c>
      <c r="C202" s="3">
        <v>1</v>
      </c>
      <c r="D202" s="4">
        <f t="shared" si="3"/>
        <v>82.758621000000005</v>
      </c>
      <c r="E202" s="4">
        <v>82.758621000000005</v>
      </c>
    </row>
    <row r="203" spans="1:5" ht="54" x14ac:dyDescent="0.25">
      <c r="A203" s="1" t="s">
        <v>5</v>
      </c>
      <c r="B203" s="2" t="s">
        <v>248</v>
      </c>
      <c r="C203" s="3">
        <v>1</v>
      </c>
      <c r="D203" s="4">
        <f t="shared" si="3"/>
        <v>79.310344999999998</v>
      </c>
      <c r="E203" s="4">
        <v>79.310344999999998</v>
      </c>
    </row>
    <row r="204" spans="1:5" ht="27" x14ac:dyDescent="0.25">
      <c r="A204" s="1" t="s">
        <v>29</v>
      </c>
      <c r="B204" s="2" t="s">
        <v>249</v>
      </c>
      <c r="C204" s="3">
        <v>1</v>
      </c>
      <c r="D204" s="4">
        <f t="shared" si="3"/>
        <v>79.310344999999998</v>
      </c>
      <c r="E204" s="4">
        <v>79.310344999999998</v>
      </c>
    </row>
    <row r="205" spans="1:5" ht="27" x14ac:dyDescent="0.25">
      <c r="A205" s="1" t="s">
        <v>5</v>
      </c>
      <c r="B205" s="2" t="s">
        <v>250</v>
      </c>
      <c r="C205" s="3">
        <v>1</v>
      </c>
      <c r="D205" s="4">
        <f t="shared" si="3"/>
        <v>77.586207000000002</v>
      </c>
      <c r="E205" s="4">
        <v>77.586207000000002</v>
      </c>
    </row>
    <row r="206" spans="1:5" ht="27" x14ac:dyDescent="0.25">
      <c r="A206" s="1" t="s">
        <v>5</v>
      </c>
      <c r="B206" s="2" t="s">
        <v>251</v>
      </c>
      <c r="C206" s="3">
        <v>2</v>
      </c>
      <c r="D206" s="4">
        <f t="shared" si="3"/>
        <v>38.793103500000001</v>
      </c>
      <c r="E206" s="4">
        <v>77.586207000000002</v>
      </c>
    </row>
    <row r="207" spans="1:5" ht="67.5" x14ac:dyDescent="0.25">
      <c r="A207" s="1" t="s">
        <v>5</v>
      </c>
      <c r="B207" s="2" t="s">
        <v>252</v>
      </c>
      <c r="C207" s="3">
        <v>1</v>
      </c>
      <c r="D207" s="4">
        <f t="shared" si="3"/>
        <v>75</v>
      </c>
      <c r="E207" s="4">
        <v>75</v>
      </c>
    </row>
    <row r="208" spans="1:5" ht="67.5" x14ac:dyDescent="0.25">
      <c r="A208" s="1" t="s">
        <v>5</v>
      </c>
      <c r="B208" s="2" t="s">
        <v>253</v>
      </c>
      <c r="C208" s="3">
        <v>1</v>
      </c>
      <c r="D208" s="4">
        <f t="shared" si="3"/>
        <v>75</v>
      </c>
      <c r="E208" s="4">
        <v>75</v>
      </c>
    </row>
    <row r="209" spans="1:5" ht="54" x14ac:dyDescent="0.25">
      <c r="A209" s="1" t="s">
        <v>5</v>
      </c>
      <c r="B209" s="2" t="s">
        <v>254</v>
      </c>
      <c r="C209" s="3">
        <v>1</v>
      </c>
      <c r="D209" s="4">
        <f t="shared" si="3"/>
        <v>73.275862000000004</v>
      </c>
      <c r="E209" s="4">
        <v>73.275862000000004</v>
      </c>
    </row>
    <row r="210" spans="1:5" ht="67.5" x14ac:dyDescent="0.25">
      <c r="A210" s="1" t="s">
        <v>5</v>
      </c>
      <c r="B210" s="2" t="s">
        <v>255</v>
      </c>
      <c r="C210" s="3">
        <v>1</v>
      </c>
      <c r="D210" s="4">
        <f t="shared" si="3"/>
        <v>72.413792999999998</v>
      </c>
      <c r="E210" s="4">
        <v>72.413792999999998</v>
      </c>
    </row>
    <row r="211" spans="1:5" ht="54" x14ac:dyDescent="0.25">
      <c r="A211" s="1" t="s">
        <v>5</v>
      </c>
      <c r="B211" s="2" t="s">
        <v>256</v>
      </c>
      <c r="C211" s="3">
        <v>1</v>
      </c>
      <c r="D211" s="4">
        <f t="shared" si="3"/>
        <v>69.827585999999997</v>
      </c>
      <c r="E211" s="4">
        <v>69.827585999999997</v>
      </c>
    </row>
    <row r="212" spans="1:5" ht="54" x14ac:dyDescent="0.25">
      <c r="A212" s="1" t="s">
        <v>5</v>
      </c>
      <c r="B212" s="2" t="s">
        <v>257</v>
      </c>
      <c r="C212" s="3">
        <v>1</v>
      </c>
      <c r="D212" s="4">
        <f t="shared" si="3"/>
        <v>68.965517000000006</v>
      </c>
      <c r="E212" s="4">
        <v>68.965517000000006</v>
      </c>
    </row>
    <row r="213" spans="1:5" ht="54" x14ac:dyDescent="0.25">
      <c r="A213" s="1" t="s">
        <v>5</v>
      </c>
      <c r="B213" s="2" t="s">
        <v>258</v>
      </c>
      <c r="C213" s="3">
        <v>1</v>
      </c>
      <c r="D213" s="4">
        <f t="shared" si="3"/>
        <v>68.103448</v>
      </c>
      <c r="E213" s="4">
        <v>68.103448</v>
      </c>
    </row>
    <row r="214" spans="1:5" ht="40.5" x14ac:dyDescent="0.25">
      <c r="A214" s="1" t="s">
        <v>5</v>
      </c>
      <c r="B214" s="2" t="s">
        <v>259</v>
      </c>
      <c r="C214" s="3">
        <v>2</v>
      </c>
      <c r="D214" s="4">
        <f t="shared" si="3"/>
        <v>33.620690000000003</v>
      </c>
      <c r="E214" s="4">
        <v>67.241380000000007</v>
      </c>
    </row>
    <row r="215" spans="1:5" ht="54" x14ac:dyDescent="0.25">
      <c r="A215" s="1" t="s">
        <v>5</v>
      </c>
      <c r="B215" s="2" t="s">
        <v>260</v>
      </c>
      <c r="C215" s="3">
        <v>1</v>
      </c>
      <c r="D215" s="4">
        <f t="shared" si="3"/>
        <v>67.241378999999995</v>
      </c>
      <c r="E215" s="4">
        <v>67.241378999999995</v>
      </c>
    </row>
    <row r="216" spans="1:5" x14ac:dyDescent="0.25">
      <c r="A216" s="1" t="s">
        <v>69</v>
      </c>
      <c r="B216" s="2" t="s">
        <v>261</v>
      </c>
      <c r="C216" s="3">
        <v>1</v>
      </c>
      <c r="D216" s="4">
        <f t="shared" si="3"/>
        <v>64.655171999999993</v>
      </c>
      <c r="E216" s="4">
        <v>64.655171999999993</v>
      </c>
    </row>
    <row r="217" spans="1:5" ht="40.5" x14ac:dyDescent="0.25">
      <c r="A217" s="1" t="s">
        <v>5</v>
      </c>
      <c r="B217" s="2" t="s">
        <v>262</v>
      </c>
      <c r="C217" s="3">
        <v>1</v>
      </c>
      <c r="D217" s="4">
        <f t="shared" si="3"/>
        <v>64.655171999999993</v>
      </c>
      <c r="E217" s="4">
        <v>64.655171999999993</v>
      </c>
    </row>
    <row r="218" spans="1:5" ht="54" x14ac:dyDescent="0.25">
      <c r="A218" s="1" t="s">
        <v>43</v>
      </c>
      <c r="B218" s="2" t="s">
        <v>263</v>
      </c>
      <c r="C218" s="3">
        <v>1</v>
      </c>
      <c r="D218" s="4">
        <f t="shared" si="3"/>
        <v>64.655171999999993</v>
      </c>
      <c r="E218" s="4">
        <v>64.655171999999993</v>
      </c>
    </row>
    <row r="219" spans="1:5" ht="27" x14ac:dyDescent="0.25">
      <c r="A219" s="1" t="s">
        <v>5</v>
      </c>
      <c r="B219" s="2" t="s">
        <v>264</v>
      </c>
      <c r="C219" s="3">
        <v>6</v>
      </c>
      <c r="D219" s="4">
        <f t="shared" si="3"/>
        <v>10.344827666666665</v>
      </c>
      <c r="E219" s="4">
        <v>62.068965999999996</v>
      </c>
    </row>
    <row r="220" spans="1:5" ht="54" x14ac:dyDescent="0.25">
      <c r="A220" s="1" t="s">
        <v>5</v>
      </c>
      <c r="B220" s="2" t="s">
        <v>265</v>
      </c>
      <c r="C220" s="3">
        <v>1</v>
      </c>
      <c r="D220" s="4">
        <f t="shared" si="3"/>
        <v>57.758620999999998</v>
      </c>
      <c r="E220" s="4">
        <v>57.758620999999998</v>
      </c>
    </row>
    <row r="221" spans="1:5" ht="54" x14ac:dyDescent="0.25">
      <c r="A221" s="1" t="s">
        <v>5</v>
      </c>
      <c r="B221" s="2" t="s">
        <v>266</v>
      </c>
      <c r="C221" s="3">
        <v>1</v>
      </c>
      <c r="D221" s="4">
        <f t="shared" si="3"/>
        <v>57.758620999999998</v>
      </c>
      <c r="E221" s="4">
        <v>57.758620999999998</v>
      </c>
    </row>
    <row r="222" spans="1:5" ht="40.5" x14ac:dyDescent="0.25">
      <c r="A222" s="1" t="s">
        <v>110</v>
      </c>
      <c r="B222" s="2" t="s">
        <v>267</v>
      </c>
      <c r="C222" s="3">
        <v>11</v>
      </c>
      <c r="D222" s="4">
        <f t="shared" si="3"/>
        <v>5.172413818181818</v>
      </c>
      <c r="E222" s="4">
        <v>56.896552</v>
      </c>
    </row>
    <row r="223" spans="1:5" ht="67.5" x14ac:dyDescent="0.25">
      <c r="A223" s="1" t="s">
        <v>5</v>
      </c>
      <c r="B223" s="2" t="s">
        <v>268</v>
      </c>
      <c r="C223" s="3">
        <v>1</v>
      </c>
      <c r="D223" s="4">
        <f t="shared" si="3"/>
        <v>56.034483000000002</v>
      </c>
      <c r="E223" s="4">
        <v>56.034483000000002</v>
      </c>
    </row>
    <row r="224" spans="1:5" ht="54" x14ac:dyDescent="0.25">
      <c r="A224" s="1" t="s">
        <v>5</v>
      </c>
      <c r="B224" s="2" t="s">
        <v>269</v>
      </c>
      <c r="C224" s="3">
        <v>1</v>
      </c>
      <c r="D224" s="4">
        <f t="shared" si="3"/>
        <v>56.034483000000002</v>
      </c>
      <c r="E224" s="4">
        <v>56.034483000000002</v>
      </c>
    </row>
    <row r="225" spans="1:5" ht="54" x14ac:dyDescent="0.25">
      <c r="A225" s="1" t="s">
        <v>5</v>
      </c>
      <c r="B225" s="2" t="s">
        <v>270</v>
      </c>
      <c r="C225" s="3">
        <v>2</v>
      </c>
      <c r="D225" s="4">
        <f t="shared" si="3"/>
        <v>25.862069000000002</v>
      </c>
      <c r="E225" s="4">
        <v>51.724138000000004</v>
      </c>
    </row>
    <row r="226" spans="1:5" ht="81" x14ac:dyDescent="0.25">
      <c r="A226" s="1" t="s">
        <v>5</v>
      </c>
      <c r="B226" s="2" t="s">
        <v>271</v>
      </c>
      <c r="C226" s="3">
        <v>1</v>
      </c>
      <c r="D226" s="4">
        <f t="shared" si="3"/>
        <v>50</v>
      </c>
      <c r="E226" s="4">
        <v>50</v>
      </c>
    </row>
    <row r="227" spans="1:5" ht="67.5" x14ac:dyDescent="0.25">
      <c r="A227" s="1" t="s">
        <v>5</v>
      </c>
      <c r="B227" s="2" t="s">
        <v>272</v>
      </c>
      <c r="C227" s="3">
        <v>1</v>
      </c>
      <c r="D227" s="4">
        <f t="shared" si="3"/>
        <v>48.275861999999996</v>
      </c>
      <c r="E227" s="4">
        <v>48.275861999999996</v>
      </c>
    </row>
    <row r="228" spans="1:5" ht="54" x14ac:dyDescent="0.25">
      <c r="A228" s="1" t="s">
        <v>147</v>
      </c>
      <c r="B228" s="2" t="s">
        <v>273</v>
      </c>
      <c r="C228" s="3">
        <v>1</v>
      </c>
      <c r="D228" s="4">
        <f t="shared" si="3"/>
        <v>48.275861999999996</v>
      </c>
      <c r="E228" s="4">
        <v>48.275861999999996</v>
      </c>
    </row>
    <row r="229" spans="1:5" ht="54" x14ac:dyDescent="0.25">
      <c r="A229" s="1" t="s">
        <v>5</v>
      </c>
      <c r="B229" s="2" t="s">
        <v>274</v>
      </c>
      <c r="C229" s="3">
        <v>1</v>
      </c>
      <c r="D229" s="4">
        <f t="shared" si="3"/>
        <v>48.275861999999996</v>
      </c>
      <c r="E229" s="4">
        <v>48.275861999999996</v>
      </c>
    </row>
    <row r="230" spans="1:5" ht="81" x14ac:dyDescent="0.25">
      <c r="A230" s="1" t="s">
        <v>5</v>
      </c>
      <c r="B230" s="2" t="s">
        <v>275</v>
      </c>
      <c r="C230" s="3">
        <v>1</v>
      </c>
      <c r="D230" s="4">
        <f t="shared" si="3"/>
        <v>47.413792999999998</v>
      </c>
      <c r="E230" s="4">
        <v>47.413792999999998</v>
      </c>
    </row>
    <row r="231" spans="1:5" ht="54" x14ac:dyDescent="0.25">
      <c r="A231" s="1" t="s">
        <v>204</v>
      </c>
      <c r="B231" s="2" t="s">
        <v>276</v>
      </c>
      <c r="C231" s="3">
        <v>5</v>
      </c>
      <c r="D231" s="4">
        <f t="shared" si="3"/>
        <v>9.4827586000000004</v>
      </c>
      <c r="E231" s="4">
        <v>47.413792999999998</v>
      </c>
    </row>
    <row r="232" spans="1:5" ht="40.5" x14ac:dyDescent="0.25">
      <c r="A232" s="1" t="s">
        <v>5</v>
      </c>
      <c r="B232" s="2" t="s">
        <v>277</v>
      </c>
      <c r="C232" s="3">
        <v>2</v>
      </c>
      <c r="D232" s="4">
        <f t="shared" si="3"/>
        <v>23.275862</v>
      </c>
      <c r="E232" s="4">
        <v>46.551724</v>
      </c>
    </row>
    <row r="233" spans="1:5" ht="67.5" x14ac:dyDescent="0.25">
      <c r="A233" s="1" t="s">
        <v>5</v>
      </c>
      <c r="B233" s="2" t="s">
        <v>278</v>
      </c>
      <c r="C233" s="3">
        <v>2</v>
      </c>
      <c r="D233" s="4">
        <f t="shared" si="3"/>
        <v>21.551724</v>
      </c>
      <c r="E233" s="4">
        <v>43.103448</v>
      </c>
    </row>
    <row r="234" spans="1:5" ht="81" x14ac:dyDescent="0.25">
      <c r="A234" s="1" t="s">
        <v>5</v>
      </c>
      <c r="B234" s="2" t="s">
        <v>279</v>
      </c>
      <c r="C234" s="3">
        <v>1</v>
      </c>
      <c r="D234" s="4">
        <f t="shared" si="3"/>
        <v>40.517240999999999</v>
      </c>
      <c r="E234" s="4">
        <v>40.517240999999999</v>
      </c>
    </row>
    <row r="235" spans="1:5" ht="40.5" x14ac:dyDescent="0.25">
      <c r="A235" s="1" t="s">
        <v>280</v>
      </c>
      <c r="B235" s="2" t="s">
        <v>281</v>
      </c>
      <c r="C235" s="3">
        <v>30</v>
      </c>
      <c r="D235" s="4">
        <f t="shared" si="3"/>
        <v>1.2931034333333333</v>
      </c>
      <c r="E235" s="4">
        <v>38.793103000000002</v>
      </c>
    </row>
    <row r="236" spans="1:5" ht="67.5" x14ac:dyDescent="0.25">
      <c r="A236" s="1" t="s">
        <v>5</v>
      </c>
      <c r="B236" s="2" t="s">
        <v>282</v>
      </c>
      <c r="C236" s="3">
        <v>1</v>
      </c>
      <c r="D236" s="4">
        <f t="shared" si="3"/>
        <v>38.793103000000002</v>
      </c>
      <c r="E236" s="4">
        <v>38.793103000000002</v>
      </c>
    </row>
    <row r="237" spans="1:5" ht="54" x14ac:dyDescent="0.25">
      <c r="A237" s="1" t="s">
        <v>5</v>
      </c>
      <c r="B237" s="2" t="s">
        <v>283</v>
      </c>
      <c r="C237" s="3">
        <v>1</v>
      </c>
      <c r="D237" s="4">
        <f t="shared" si="3"/>
        <v>37.931033999999997</v>
      </c>
      <c r="E237" s="4">
        <v>37.931033999999997</v>
      </c>
    </row>
    <row r="238" spans="1:5" ht="67.5" x14ac:dyDescent="0.25">
      <c r="A238" s="1" t="s">
        <v>5</v>
      </c>
      <c r="B238" s="2" t="s">
        <v>284</v>
      </c>
      <c r="C238" s="3">
        <v>1</v>
      </c>
      <c r="D238" s="4">
        <f t="shared" si="3"/>
        <v>37.068966000000003</v>
      </c>
      <c r="E238" s="4">
        <v>37.068966000000003</v>
      </c>
    </row>
    <row r="239" spans="1:5" ht="54" x14ac:dyDescent="0.25">
      <c r="A239" s="1" t="s">
        <v>5</v>
      </c>
      <c r="B239" s="2" t="s">
        <v>285</v>
      </c>
      <c r="C239" s="3">
        <v>1</v>
      </c>
      <c r="D239" s="4">
        <f t="shared" si="3"/>
        <v>37.068966000000003</v>
      </c>
      <c r="E239" s="4">
        <v>37.068966000000003</v>
      </c>
    </row>
    <row r="240" spans="1:5" ht="54" x14ac:dyDescent="0.25">
      <c r="A240" s="1" t="s">
        <v>218</v>
      </c>
      <c r="B240" s="2" t="s">
        <v>286</v>
      </c>
      <c r="C240" s="3">
        <v>1</v>
      </c>
      <c r="D240" s="4">
        <f t="shared" si="3"/>
        <v>34.482759000000001</v>
      </c>
      <c r="E240" s="4">
        <v>34.482759000000001</v>
      </c>
    </row>
    <row r="241" spans="1:5" ht="54" x14ac:dyDescent="0.25">
      <c r="A241" s="1" t="s">
        <v>5</v>
      </c>
      <c r="B241" s="2" t="s">
        <v>287</v>
      </c>
      <c r="C241" s="3">
        <v>1</v>
      </c>
      <c r="D241" s="4">
        <f t="shared" si="3"/>
        <v>34.482759000000001</v>
      </c>
      <c r="E241" s="4">
        <v>34.482759000000001</v>
      </c>
    </row>
    <row r="242" spans="1:5" ht="40.5" x14ac:dyDescent="0.25">
      <c r="A242" s="1" t="s">
        <v>288</v>
      </c>
      <c r="B242" s="2" t="s">
        <v>289</v>
      </c>
      <c r="C242" s="3">
        <v>2</v>
      </c>
      <c r="D242" s="4">
        <f t="shared" si="3"/>
        <v>17.241379500000001</v>
      </c>
      <c r="E242" s="4">
        <v>34.482759000000001</v>
      </c>
    </row>
    <row r="243" spans="1:5" ht="54" x14ac:dyDescent="0.25">
      <c r="A243" s="1" t="s">
        <v>204</v>
      </c>
      <c r="B243" s="2" t="s">
        <v>290</v>
      </c>
      <c r="C243" s="3">
        <v>2</v>
      </c>
      <c r="D243" s="4">
        <f t="shared" si="3"/>
        <v>15.517241500000001</v>
      </c>
      <c r="E243" s="4">
        <v>31.034483000000002</v>
      </c>
    </row>
    <row r="244" spans="1:5" ht="67.5" x14ac:dyDescent="0.25">
      <c r="A244" s="1" t="s">
        <v>5</v>
      </c>
      <c r="B244" s="2" t="s">
        <v>291</v>
      </c>
      <c r="C244" s="3">
        <v>1</v>
      </c>
      <c r="D244" s="4">
        <f t="shared" si="3"/>
        <v>29.310345000000002</v>
      </c>
      <c r="E244" s="4">
        <v>29.310345000000002</v>
      </c>
    </row>
    <row r="245" spans="1:5" ht="67.5" x14ac:dyDescent="0.25">
      <c r="A245" s="1" t="s">
        <v>292</v>
      </c>
      <c r="B245" s="2" t="s">
        <v>293</v>
      </c>
      <c r="C245" s="3">
        <v>2</v>
      </c>
      <c r="D245" s="4">
        <f t="shared" si="3"/>
        <v>13.793103</v>
      </c>
      <c r="E245" s="4">
        <v>27.586206000000001</v>
      </c>
    </row>
    <row r="246" spans="1:5" ht="54" x14ac:dyDescent="0.25">
      <c r="A246" s="1" t="s">
        <v>5</v>
      </c>
      <c r="B246" s="2" t="s">
        <v>294</v>
      </c>
      <c r="C246" s="3">
        <v>1</v>
      </c>
      <c r="D246" s="4">
        <f t="shared" si="3"/>
        <v>25.862069000000002</v>
      </c>
      <c r="E246" s="4">
        <v>25.862069000000002</v>
      </c>
    </row>
    <row r="247" spans="1:5" ht="67.5" x14ac:dyDescent="0.25">
      <c r="A247" s="1" t="s">
        <v>5</v>
      </c>
      <c r="B247" s="2" t="s">
        <v>295</v>
      </c>
      <c r="C247" s="3">
        <v>1</v>
      </c>
      <c r="D247" s="4">
        <f t="shared" si="3"/>
        <v>23.275862</v>
      </c>
      <c r="E247" s="4">
        <v>23.275862</v>
      </c>
    </row>
    <row r="248" spans="1:5" ht="67.5" x14ac:dyDescent="0.25">
      <c r="A248" s="1" t="s">
        <v>5</v>
      </c>
      <c r="B248" s="2" t="s">
        <v>296</v>
      </c>
      <c r="C248" s="3">
        <v>1</v>
      </c>
      <c r="D248" s="4">
        <f t="shared" si="3"/>
        <v>23.275862</v>
      </c>
      <c r="E248" s="4">
        <v>23.275862</v>
      </c>
    </row>
    <row r="249" spans="1:5" ht="54" x14ac:dyDescent="0.25">
      <c r="A249" s="1" t="s">
        <v>5</v>
      </c>
      <c r="B249" s="2" t="s">
        <v>297</v>
      </c>
      <c r="C249" s="3">
        <v>1</v>
      </c>
      <c r="D249" s="4">
        <f t="shared" si="3"/>
        <v>22.413792999999998</v>
      </c>
      <c r="E249" s="4">
        <v>22.413792999999998</v>
      </c>
    </row>
    <row r="250" spans="1:5" ht="40.5" x14ac:dyDescent="0.25">
      <c r="A250" s="1" t="s">
        <v>280</v>
      </c>
      <c r="B250" s="2" t="s">
        <v>298</v>
      </c>
      <c r="C250" s="3">
        <v>1</v>
      </c>
      <c r="D250" s="4">
        <f t="shared" si="3"/>
        <v>22.413792999999998</v>
      </c>
      <c r="E250" s="4">
        <v>22.413792999999998</v>
      </c>
    </row>
    <row r="251" spans="1:5" ht="67.5" x14ac:dyDescent="0.25">
      <c r="A251" s="1" t="s">
        <v>5</v>
      </c>
      <c r="B251" s="2" t="s">
        <v>299</v>
      </c>
      <c r="C251" s="3">
        <v>1</v>
      </c>
      <c r="D251" s="4">
        <f t="shared" si="3"/>
        <v>22.413792999999998</v>
      </c>
      <c r="E251" s="4">
        <v>22.413792999999998</v>
      </c>
    </row>
    <row r="252" spans="1:5" ht="54" x14ac:dyDescent="0.25">
      <c r="A252" s="1" t="s">
        <v>5</v>
      </c>
      <c r="B252" s="2" t="s">
        <v>300</v>
      </c>
      <c r="C252" s="3">
        <v>1</v>
      </c>
      <c r="D252" s="4">
        <f t="shared" si="3"/>
        <v>21.551724</v>
      </c>
      <c r="E252" s="4">
        <v>21.551724</v>
      </c>
    </row>
    <row r="253" spans="1:5" ht="54" x14ac:dyDescent="0.25">
      <c r="A253" s="1" t="s">
        <v>218</v>
      </c>
      <c r="B253" s="2" t="s">
        <v>301</v>
      </c>
      <c r="C253" s="3">
        <v>4</v>
      </c>
      <c r="D253" s="4">
        <f t="shared" si="3"/>
        <v>5.1724137499999996</v>
      </c>
      <c r="E253" s="4">
        <v>20.689654999999998</v>
      </c>
    </row>
    <row r="254" spans="1:5" ht="40.5" x14ac:dyDescent="0.25">
      <c r="A254" s="1" t="s">
        <v>5</v>
      </c>
      <c r="B254" s="2" t="s">
        <v>302</v>
      </c>
      <c r="C254" s="3">
        <v>1</v>
      </c>
      <c r="D254" s="4">
        <f t="shared" si="3"/>
        <v>19.827586</v>
      </c>
      <c r="E254" s="4">
        <v>19.827586</v>
      </c>
    </row>
    <row r="255" spans="1:5" ht="54" x14ac:dyDescent="0.25">
      <c r="A255" s="1" t="s">
        <v>5</v>
      </c>
      <c r="B255" s="2" t="s">
        <v>303</v>
      </c>
      <c r="C255" s="3">
        <v>1</v>
      </c>
      <c r="D255" s="4">
        <f t="shared" si="3"/>
        <v>17.241378999999998</v>
      </c>
      <c r="E255" s="4">
        <v>17.241378999999998</v>
      </c>
    </row>
    <row r="256" spans="1:5" ht="81" x14ac:dyDescent="0.25">
      <c r="A256" s="1" t="s">
        <v>5</v>
      </c>
      <c r="B256" s="2" t="s">
        <v>304</v>
      </c>
      <c r="C256" s="3">
        <v>1</v>
      </c>
      <c r="D256" s="4">
        <f t="shared" si="3"/>
        <v>16.37931</v>
      </c>
      <c r="E256" s="4">
        <v>16.37931</v>
      </c>
    </row>
    <row r="257" spans="1:5" ht="67.5" x14ac:dyDescent="0.25">
      <c r="A257" s="1" t="s">
        <v>204</v>
      </c>
      <c r="B257" s="2" t="s">
        <v>305</v>
      </c>
      <c r="C257" s="3">
        <v>1</v>
      </c>
      <c r="D257" s="4">
        <f t="shared" si="3"/>
        <v>16.37931</v>
      </c>
      <c r="E257" s="4">
        <v>16.37931</v>
      </c>
    </row>
    <row r="258" spans="1:5" ht="40.5" x14ac:dyDescent="0.25">
      <c r="A258" s="1" t="s">
        <v>306</v>
      </c>
      <c r="B258" s="2" t="s">
        <v>307</v>
      </c>
      <c r="C258" s="3">
        <v>1</v>
      </c>
      <c r="D258" s="4">
        <f t="shared" ref="D258:D321" si="4">IFERROR(E258/C258,0)</f>
        <v>16.37931</v>
      </c>
      <c r="E258" s="4">
        <v>16.37931</v>
      </c>
    </row>
    <row r="259" spans="1:5" ht="40.5" x14ac:dyDescent="0.25">
      <c r="A259" s="1" t="s">
        <v>204</v>
      </c>
      <c r="B259" s="2" t="s">
        <v>308</v>
      </c>
      <c r="C259" s="3">
        <v>1</v>
      </c>
      <c r="D259" s="4">
        <f t="shared" si="4"/>
        <v>15.517241</v>
      </c>
      <c r="E259" s="4">
        <v>15.517241</v>
      </c>
    </row>
    <row r="260" spans="1:5" ht="40.5" x14ac:dyDescent="0.25">
      <c r="A260" s="1" t="s">
        <v>309</v>
      </c>
      <c r="B260" s="2" t="s">
        <v>310</v>
      </c>
      <c r="C260" s="3">
        <v>1</v>
      </c>
      <c r="D260" s="4">
        <f t="shared" si="4"/>
        <v>14.655172</v>
      </c>
      <c r="E260" s="4">
        <v>14.655172</v>
      </c>
    </row>
    <row r="261" spans="1:5" ht="40.5" x14ac:dyDescent="0.25">
      <c r="A261" s="1" t="s">
        <v>311</v>
      </c>
      <c r="B261" s="2" t="s">
        <v>312</v>
      </c>
      <c r="C261" s="3">
        <v>30</v>
      </c>
      <c r="D261" s="4">
        <f t="shared" si="4"/>
        <v>0.43103446666666667</v>
      </c>
      <c r="E261" s="4">
        <v>12.931034</v>
      </c>
    </row>
    <row r="262" spans="1:5" ht="54" x14ac:dyDescent="0.25">
      <c r="A262" s="1" t="s">
        <v>280</v>
      </c>
      <c r="B262" s="2" t="s">
        <v>313</v>
      </c>
      <c r="C262" s="3">
        <v>20</v>
      </c>
      <c r="D262" s="4">
        <f t="shared" si="4"/>
        <v>0.56034485000000001</v>
      </c>
      <c r="E262" s="4">
        <v>11.206897</v>
      </c>
    </row>
    <row r="263" spans="1:5" ht="40.5" x14ac:dyDescent="0.25">
      <c r="A263" s="1" t="s">
        <v>314</v>
      </c>
      <c r="B263" s="2" t="s">
        <v>315</v>
      </c>
      <c r="C263" s="3">
        <v>4</v>
      </c>
      <c r="D263" s="4">
        <f t="shared" si="4"/>
        <v>2.5862069999999999</v>
      </c>
      <c r="E263" s="4">
        <v>10.344828</v>
      </c>
    </row>
    <row r="264" spans="1:5" ht="67.5" x14ac:dyDescent="0.25">
      <c r="A264" s="1" t="s">
        <v>129</v>
      </c>
      <c r="B264" s="2" t="s">
        <v>316</v>
      </c>
      <c r="C264" s="3">
        <v>0.25</v>
      </c>
      <c r="D264" s="4">
        <f t="shared" si="4"/>
        <v>32.758620000000001</v>
      </c>
      <c r="E264" s="4">
        <v>8.1896550000000001</v>
      </c>
    </row>
    <row r="265" spans="1:5" x14ac:dyDescent="0.25">
      <c r="A265" s="1" t="s">
        <v>317</v>
      </c>
      <c r="B265" s="2" t="s">
        <v>318</v>
      </c>
      <c r="C265" s="3">
        <v>1</v>
      </c>
      <c r="D265" s="4">
        <f t="shared" si="4"/>
        <v>6.0344829999999998</v>
      </c>
      <c r="E265" s="4">
        <v>6.0344829999999998</v>
      </c>
    </row>
    <row r="266" spans="1:5" ht="54" x14ac:dyDescent="0.25">
      <c r="A266" s="1" t="s">
        <v>5</v>
      </c>
      <c r="B266" s="2" t="s">
        <v>319</v>
      </c>
      <c r="C266" s="3">
        <v>4</v>
      </c>
      <c r="D266" s="4">
        <f t="shared" si="4"/>
        <v>0.86206899999999997</v>
      </c>
      <c r="E266" s="4">
        <v>3.4482759999999999</v>
      </c>
    </row>
    <row r="267" spans="1:5" ht="40.5" x14ac:dyDescent="0.25">
      <c r="A267" s="1" t="s">
        <v>320</v>
      </c>
      <c r="B267" s="2" t="s">
        <v>321</v>
      </c>
      <c r="C267" s="3">
        <v>1</v>
      </c>
      <c r="D267" s="4">
        <f t="shared" si="4"/>
        <v>2.5862069999999999</v>
      </c>
      <c r="E267" s="4">
        <v>2.5862069999999999</v>
      </c>
    </row>
    <row r="268" spans="1:5" ht="27" x14ac:dyDescent="0.25">
      <c r="A268" s="1" t="s">
        <v>280</v>
      </c>
      <c r="B268" s="2" t="s">
        <v>322</v>
      </c>
      <c r="C268" s="3">
        <v>4</v>
      </c>
      <c r="D268" s="4">
        <f t="shared" si="4"/>
        <v>0.51724150000000002</v>
      </c>
      <c r="E268" s="4">
        <v>2.0689660000000001</v>
      </c>
    </row>
    <row r="269" spans="1:5" ht="40.5" x14ac:dyDescent="0.25">
      <c r="A269" s="1" t="s">
        <v>218</v>
      </c>
      <c r="B269" s="2" t="s">
        <v>323</v>
      </c>
      <c r="C269" s="3">
        <v>4</v>
      </c>
      <c r="D269" s="4">
        <f t="shared" si="4"/>
        <v>0.43103449999999999</v>
      </c>
      <c r="E269" s="4">
        <v>1.7241379999999999</v>
      </c>
    </row>
    <row r="270" spans="1:5" ht="54" x14ac:dyDescent="0.25">
      <c r="A270" s="1" t="s">
        <v>324</v>
      </c>
      <c r="B270" s="2" t="s">
        <v>325</v>
      </c>
      <c r="C270" s="3">
        <v>2</v>
      </c>
      <c r="D270" s="4">
        <f t="shared" si="4"/>
        <v>10868</v>
      </c>
      <c r="E270" s="4">
        <v>21736</v>
      </c>
    </row>
    <row r="271" spans="1:5" ht="54" x14ac:dyDescent="0.25">
      <c r="A271" s="1" t="s">
        <v>326</v>
      </c>
      <c r="B271" s="2" t="s">
        <v>327</v>
      </c>
      <c r="C271" s="3">
        <v>1</v>
      </c>
      <c r="D271" s="4">
        <f t="shared" si="4"/>
        <v>15513.55</v>
      </c>
      <c r="E271" s="4">
        <v>15513.55</v>
      </c>
    </row>
    <row r="272" spans="1:5" ht="67.5" x14ac:dyDescent="0.25">
      <c r="A272" s="1" t="s">
        <v>326</v>
      </c>
      <c r="B272" s="2" t="s">
        <v>328</v>
      </c>
      <c r="C272" s="3">
        <v>1</v>
      </c>
      <c r="D272" s="4">
        <f t="shared" si="4"/>
        <v>15224.3</v>
      </c>
      <c r="E272" s="4">
        <v>15224.3</v>
      </c>
    </row>
    <row r="273" spans="1:5" ht="67.5" x14ac:dyDescent="0.25">
      <c r="A273" s="1" t="s">
        <v>329</v>
      </c>
      <c r="B273" s="2" t="s">
        <v>330</v>
      </c>
      <c r="C273" s="3">
        <v>90</v>
      </c>
      <c r="D273" s="4">
        <f t="shared" si="4"/>
        <v>117</v>
      </c>
      <c r="E273" s="4">
        <v>10530</v>
      </c>
    </row>
    <row r="274" spans="1:5" ht="54" x14ac:dyDescent="0.25">
      <c r="A274" s="1" t="s">
        <v>14</v>
      </c>
      <c r="B274" s="2" t="s">
        <v>331</v>
      </c>
      <c r="C274" s="3">
        <v>3</v>
      </c>
      <c r="D274" s="4">
        <f t="shared" si="4"/>
        <v>1519.7</v>
      </c>
      <c r="E274" s="4">
        <v>4559.1000000000004</v>
      </c>
    </row>
    <row r="275" spans="1:5" ht="40.5" x14ac:dyDescent="0.25">
      <c r="A275" s="1" t="s">
        <v>332</v>
      </c>
      <c r="B275" s="2" t="s">
        <v>333</v>
      </c>
      <c r="C275" s="3">
        <v>10</v>
      </c>
      <c r="D275" s="4">
        <f t="shared" si="4"/>
        <v>424.45</v>
      </c>
      <c r="E275" s="4">
        <v>4244.5</v>
      </c>
    </row>
    <row r="276" spans="1:5" ht="67.5" x14ac:dyDescent="0.25">
      <c r="A276" s="1" t="s">
        <v>334</v>
      </c>
      <c r="B276" s="2" t="s">
        <v>335</v>
      </c>
      <c r="C276" s="3">
        <v>30</v>
      </c>
      <c r="D276" s="4">
        <f t="shared" si="4"/>
        <v>117.65</v>
      </c>
      <c r="E276" s="4">
        <v>3529.5</v>
      </c>
    </row>
    <row r="277" spans="1:5" ht="54" x14ac:dyDescent="0.25">
      <c r="A277" s="1" t="s">
        <v>336</v>
      </c>
      <c r="B277" s="2" t="s">
        <v>337</v>
      </c>
      <c r="C277" s="3">
        <v>3</v>
      </c>
      <c r="D277" s="4">
        <f t="shared" si="4"/>
        <v>660.4</v>
      </c>
      <c r="E277" s="4">
        <v>1981.2</v>
      </c>
    </row>
    <row r="278" spans="1:5" ht="67.5" x14ac:dyDescent="0.25">
      <c r="A278" s="1" t="s">
        <v>27</v>
      </c>
      <c r="B278" s="2" t="s">
        <v>338</v>
      </c>
      <c r="C278" s="3">
        <v>4</v>
      </c>
      <c r="D278" s="4">
        <f t="shared" si="4"/>
        <v>476.45</v>
      </c>
      <c r="E278" s="4">
        <v>1905.8</v>
      </c>
    </row>
    <row r="279" spans="1:5" ht="67.5" x14ac:dyDescent="0.25">
      <c r="A279" s="1" t="s">
        <v>339</v>
      </c>
      <c r="B279" s="2" t="s">
        <v>340</v>
      </c>
      <c r="C279" s="3">
        <v>50</v>
      </c>
      <c r="D279" s="4">
        <f t="shared" si="4"/>
        <v>35.75</v>
      </c>
      <c r="E279" s="4">
        <v>1787.5</v>
      </c>
    </row>
    <row r="280" spans="1:5" ht="54" x14ac:dyDescent="0.25">
      <c r="A280" s="1" t="s">
        <v>43</v>
      </c>
      <c r="B280" s="2" t="s">
        <v>341</v>
      </c>
      <c r="C280" s="3">
        <v>4</v>
      </c>
      <c r="D280" s="4">
        <f t="shared" si="4"/>
        <v>420.55</v>
      </c>
      <c r="E280" s="4">
        <v>1682.2</v>
      </c>
    </row>
    <row r="281" spans="1:5" ht="54" x14ac:dyDescent="0.25">
      <c r="A281" s="1" t="s">
        <v>342</v>
      </c>
      <c r="B281" s="2" t="s">
        <v>343</v>
      </c>
      <c r="C281" s="3">
        <v>60.12</v>
      </c>
      <c r="D281" s="4">
        <f t="shared" si="4"/>
        <v>27.950000000000003</v>
      </c>
      <c r="E281" s="4">
        <v>1680.354</v>
      </c>
    </row>
    <row r="282" spans="1:5" ht="54" x14ac:dyDescent="0.25">
      <c r="A282" s="1" t="s">
        <v>27</v>
      </c>
      <c r="B282" s="2" t="s">
        <v>344</v>
      </c>
      <c r="C282" s="3">
        <v>1</v>
      </c>
      <c r="D282" s="4">
        <f t="shared" si="4"/>
        <v>1597.05</v>
      </c>
      <c r="E282" s="4">
        <v>1597.05</v>
      </c>
    </row>
    <row r="283" spans="1:5" ht="54" x14ac:dyDescent="0.25">
      <c r="A283" s="1" t="s">
        <v>345</v>
      </c>
      <c r="B283" s="2" t="s">
        <v>346</v>
      </c>
      <c r="C283" s="3">
        <v>25.15</v>
      </c>
      <c r="D283" s="4">
        <f t="shared" si="4"/>
        <v>59.15</v>
      </c>
      <c r="E283" s="4">
        <v>1487.6224999999999</v>
      </c>
    </row>
    <row r="284" spans="1:5" ht="67.5" x14ac:dyDescent="0.25">
      <c r="A284" s="1" t="s">
        <v>77</v>
      </c>
      <c r="B284" s="2" t="s">
        <v>347</v>
      </c>
      <c r="C284" s="3">
        <v>26</v>
      </c>
      <c r="D284" s="4">
        <f t="shared" si="4"/>
        <v>57.150000000000006</v>
      </c>
      <c r="E284" s="4">
        <v>1485.9</v>
      </c>
    </row>
    <row r="285" spans="1:5" ht="54" x14ac:dyDescent="0.25">
      <c r="A285" s="1" t="s">
        <v>332</v>
      </c>
      <c r="B285" s="2" t="s">
        <v>348</v>
      </c>
      <c r="C285" s="3">
        <v>3</v>
      </c>
      <c r="D285" s="4">
        <f t="shared" si="4"/>
        <v>424.45</v>
      </c>
      <c r="E285" s="4">
        <v>1273.3499999999999</v>
      </c>
    </row>
    <row r="286" spans="1:5" ht="67.5" x14ac:dyDescent="0.25">
      <c r="A286" s="1" t="s">
        <v>16</v>
      </c>
      <c r="B286" s="2" t="s">
        <v>349</v>
      </c>
      <c r="C286" s="3">
        <v>2</v>
      </c>
      <c r="D286" s="4">
        <f t="shared" si="4"/>
        <v>633.1</v>
      </c>
      <c r="E286" s="4">
        <v>1266.2</v>
      </c>
    </row>
    <row r="287" spans="1:5" ht="40.5" x14ac:dyDescent="0.25">
      <c r="A287" s="1" t="s">
        <v>350</v>
      </c>
      <c r="B287" s="2" t="s">
        <v>351</v>
      </c>
      <c r="C287" s="3">
        <v>3</v>
      </c>
      <c r="D287" s="4">
        <f t="shared" si="4"/>
        <v>363.34999999999997</v>
      </c>
      <c r="E287" s="4">
        <v>1090.05</v>
      </c>
    </row>
    <row r="288" spans="1:5" ht="67.5" x14ac:dyDescent="0.25">
      <c r="A288" s="1" t="s">
        <v>37</v>
      </c>
      <c r="B288" s="2" t="s">
        <v>352</v>
      </c>
      <c r="C288" s="3">
        <v>10</v>
      </c>
      <c r="D288" s="4">
        <f t="shared" si="4"/>
        <v>105.3</v>
      </c>
      <c r="E288" s="4">
        <v>1053</v>
      </c>
    </row>
    <row r="289" spans="1:5" ht="54" x14ac:dyDescent="0.25">
      <c r="A289" s="1" t="s">
        <v>353</v>
      </c>
      <c r="B289" s="2" t="s">
        <v>354</v>
      </c>
      <c r="C289" s="3">
        <v>200</v>
      </c>
      <c r="D289" s="4">
        <f t="shared" si="4"/>
        <v>4.55</v>
      </c>
      <c r="E289" s="4">
        <v>910</v>
      </c>
    </row>
    <row r="290" spans="1:5" ht="67.5" x14ac:dyDescent="0.25">
      <c r="A290" s="1" t="s">
        <v>355</v>
      </c>
      <c r="B290" s="2" t="s">
        <v>356</v>
      </c>
      <c r="C290" s="3">
        <v>7</v>
      </c>
      <c r="D290" s="4">
        <f t="shared" si="4"/>
        <v>128.69999999999999</v>
      </c>
      <c r="E290" s="4">
        <v>900.9</v>
      </c>
    </row>
    <row r="291" spans="1:5" ht="67.5" x14ac:dyDescent="0.25">
      <c r="A291" s="1" t="s">
        <v>125</v>
      </c>
      <c r="B291" s="2" t="s">
        <v>357</v>
      </c>
      <c r="C291" s="3">
        <v>2</v>
      </c>
      <c r="D291" s="4">
        <f t="shared" si="4"/>
        <v>442.65</v>
      </c>
      <c r="E291" s="4">
        <v>885.3</v>
      </c>
    </row>
    <row r="292" spans="1:5" ht="81" x14ac:dyDescent="0.25">
      <c r="A292" s="1" t="s">
        <v>358</v>
      </c>
      <c r="B292" s="2" t="s">
        <v>359</v>
      </c>
      <c r="C292" s="3">
        <v>4</v>
      </c>
      <c r="D292" s="4">
        <f t="shared" si="4"/>
        <v>218.4</v>
      </c>
      <c r="E292" s="4">
        <v>873.6</v>
      </c>
    </row>
    <row r="293" spans="1:5" ht="67.5" x14ac:dyDescent="0.25">
      <c r="A293" s="1" t="s">
        <v>12</v>
      </c>
      <c r="B293" s="2" t="s">
        <v>360</v>
      </c>
      <c r="C293" s="3">
        <v>2</v>
      </c>
      <c r="D293" s="4">
        <f t="shared" si="4"/>
        <v>382.85</v>
      </c>
      <c r="E293" s="4">
        <v>765.7</v>
      </c>
    </row>
    <row r="294" spans="1:5" ht="54" x14ac:dyDescent="0.25">
      <c r="A294" s="1" t="s">
        <v>361</v>
      </c>
      <c r="B294" s="2" t="s">
        <v>362</v>
      </c>
      <c r="C294" s="3">
        <v>2</v>
      </c>
      <c r="D294" s="4">
        <f t="shared" si="4"/>
        <v>347.1</v>
      </c>
      <c r="E294" s="4">
        <v>694.2</v>
      </c>
    </row>
    <row r="295" spans="1:5" ht="54" x14ac:dyDescent="0.25">
      <c r="A295" s="1" t="s">
        <v>125</v>
      </c>
      <c r="B295" s="2" t="s">
        <v>363</v>
      </c>
      <c r="C295" s="3">
        <v>1</v>
      </c>
      <c r="D295" s="4">
        <f t="shared" si="4"/>
        <v>599.29999999999995</v>
      </c>
      <c r="E295" s="4">
        <v>599.29999999999995</v>
      </c>
    </row>
    <row r="296" spans="1:5" ht="67.5" x14ac:dyDescent="0.25">
      <c r="A296" s="1" t="s">
        <v>29</v>
      </c>
      <c r="B296" s="2" t="s">
        <v>364</v>
      </c>
      <c r="C296" s="3">
        <v>1</v>
      </c>
      <c r="D296" s="4">
        <f t="shared" si="4"/>
        <v>487.5</v>
      </c>
      <c r="E296" s="4">
        <v>487.5</v>
      </c>
    </row>
    <row r="297" spans="1:5" ht="81" x14ac:dyDescent="0.25">
      <c r="A297" s="1" t="s">
        <v>358</v>
      </c>
      <c r="B297" s="2" t="s">
        <v>365</v>
      </c>
      <c r="C297" s="3">
        <v>4</v>
      </c>
      <c r="D297" s="4">
        <f t="shared" si="4"/>
        <v>110.721</v>
      </c>
      <c r="E297" s="4">
        <v>442.88400000000001</v>
      </c>
    </row>
    <row r="298" spans="1:5" ht="54" x14ac:dyDescent="0.25">
      <c r="A298" s="1" t="s">
        <v>353</v>
      </c>
      <c r="B298" s="2" t="s">
        <v>366</v>
      </c>
      <c r="C298" s="3">
        <v>50</v>
      </c>
      <c r="D298" s="4">
        <f t="shared" si="4"/>
        <v>7.8</v>
      </c>
      <c r="E298" s="4">
        <v>390</v>
      </c>
    </row>
    <row r="299" spans="1:5" ht="54" x14ac:dyDescent="0.25">
      <c r="A299" s="1" t="s">
        <v>353</v>
      </c>
      <c r="B299" s="2" t="s">
        <v>367</v>
      </c>
      <c r="C299" s="3">
        <v>50</v>
      </c>
      <c r="D299" s="4">
        <f t="shared" si="4"/>
        <v>7.15</v>
      </c>
      <c r="E299" s="4">
        <v>357.5</v>
      </c>
    </row>
    <row r="300" spans="1:5" ht="54" x14ac:dyDescent="0.25">
      <c r="A300" s="1" t="s">
        <v>353</v>
      </c>
      <c r="B300" s="2" t="s">
        <v>368</v>
      </c>
      <c r="C300" s="3">
        <v>50</v>
      </c>
      <c r="D300" s="4">
        <f t="shared" si="4"/>
        <v>7.15</v>
      </c>
      <c r="E300" s="4">
        <v>357.5</v>
      </c>
    </row>
    <row r="301" spans="1:5" ht="54" x14ac:dyDescent="0.25">
      <c r="A301" s="1" t="s">
        <v>353</v>
      </c>
      <c r="B301" s="2" t="s">
        <v>369</v>
      </c>
      <c r="C301" s="3">
        <v>50</v>
      </c>
      <c r="D301" s="4">
        <f t="shared" si="4"/>
        <v>7.15</v>
      </c>
      <c r="E301" s="4">
        <v>357.5</v>
      </c>
    </row>
    <row r="302" spans="1:5" ht="54" x14ac:dyDescent="0.25">
      <c r="A302" s="1" t="s">
        <v>353</v>
      </c>
      <c r="B302" s="2" t="s">
        <v>370</v>
      </c>
      <c r="C302" s="3">
        <v>50</v>
      </c>
      <c r="D302" s="4">
        <f t="shared" si="4"/>
        <v>7.15</v>
      </c>
      <c r="E302" s="4">
        <v>357.5</v>
      </c>
    </row>
    <row r="303" spans="1:5" ht="67.5" x14ac:dyDescent="0.25">
      <c r="A303" s="1" t="s">
        <v>371</v>
      </c>
      <c r="B303" s="2" t="s">
        <v>372</v>
      </c>
      <c r="C303" s="3">
        <v>5</v>
      </c>
      <c r="D303" s="4">
        <f t="shared" si="4"/>
        <v>54.6</v>
      </c>
      <c r="E303" s="4">
        <v>273</v>
      </c>
    </row>
    <row r="304" spans="1:5" ht="67.5" x14ac:dyDescent="0.25">
      <c r="A304" s="1" t="s">
        <v>58</v>
      </c>
      <c r="B304" s="2" t="s">
        <v>373</v>
      </c>
      <c r="C304" s="3">
        <v>1</v>
      </c>
      <c r="D304" s="4">
        <f t="shared" si="4"/>
        <v>196.3</v>
      </c>
      <c r="E304" s="4">
        <v>196.3</v>
      </c>
    </row>
    <row r="305" spans="1:5" ht="54" x14ac:dyDescent="0.25">
      <c r="A305" s="1" t="s">
        <v>53</v>
      </c>
      <c r="B305" s="2" t="s">
        <v>374</v>
      </c>
      <c r="C305" s="3">
        <v>25</v>
      </c>
      <c r="D305" s="4">
        <f t="shared" si="4"/>
        <v>7.8</v>
      </c>
      <c r="E305" s="4">
        <v>195</v>
      </c>
    </row>
    <row r="306" spans="1:5" ht="54" x14ac:dyDescent="0.25">
      <c r="A306" s="1" t="s">
        <v>375</v>
      </c>
      <c r="B306" s="2" t="s">
        <v>376</v>
      </c>
      <c r="C306" s="3">
        <v>2</v>
      </c>
      <c r="D306" s="4">
        <f t="shared" si="4"/>
        <v>93.6</v>
      </c>
      <c r="E306" s="4">
        <v>187.2</v>
      </c>
    </row>
    <row r="307" spans="1:5" ht="67.5" x14ac:dyDescent="0.25">
      <c r="A307" s="1" t="s">
        <v>377</v>
      </c>
      <c r="B307" s="2" t="s">
        <v>378</v>
      </c>
      <c r="C307" s="3">
        <v>1</v>
      </c>
      <c r="D307" s="4">
        <f t="shared" si="4"/>
        <v>185.9</v>
      </c>
      <c r="E307" s="4">
        <v>185.9</v>
      </c>
    </row>
    <row r="308" spans="1:5" ht="67.5" x14ac:dyDescent="0.25">
      <c r="A308" s="1" t="s">
        <v>58</v>
      </c>
      <c r="B308" s="2" t="s">
        <v>379</v>
      </c>
      <c r="C308" s="3">
        <v>1</v>
      </c>
      <c r="D308" s="4">
        <f t="shared" si="4"/>
        <v>173.55</v>
      </c>
      <c r="E308" s="4">
        <v>173.55</v>
      </c>
    </row>
    <row r="309" spans="1:5" ht="67.5" x14ac:dyDescent="0.25">
      <c r="A309" s="1" t="s">
        <v>58</v>
      </c>
      <c r="B309" s="2" t="s">
        <v>380</v>
      </c>
      <c r="C309" s="3">
        <v>1</v>
      </c>
      <c r="D309" s="4">
        <f t="shared" si="4"/>
        <v>173.55</v>
      </c>
      <c r="E309" s="4">
        <v>173.55</v>
      </c>
    </row>
    <row r="310" spans="1:5" ht="40.5" x14ac:dyDescent="0.25">
      <c r="A310" s="1" t="s">
        <v>381</v>
      </c>
      <c r="B310" s="2" t="s">
        <v>382</v>
      </c>
      <c r="C310" s="3">
        <v>3</v>
      </c>
      <c r="D310" s="4">
        <f t="shared" si="4"/>
        <v>55.9</v>
      </c>
      <c r="E310" s="4">
        <v>167.7</v>
      </c>
    </row>
    <row r="311" spans="1:5" ht="81" x14ac:dyDescent="0.25">
      <c r="A311" s="1" t="s">
        <v>334</v>
      </c>
      <c r="B311" s="2" t="s">
        <v>383</v>
      </c>
      <c r="C311" s="3">
        <v>2</v>
      </c>
      <c r="D311" s="4">
        <f t="shared" si="4"/>
        <v>81.25</v>
      </c>
      <c r="E311" s="4">
        <v>162.5</v>
      </c>
    </row>
    <row r="312" spans="1:5" ht="67.5" x14ac:dyDescent="0.25">
      <c r="A312" s="1" t="s">
        <v>77</v>
      </c>
      <c r="B312" s="2" t="s">
        <v>384</v>
      </c>
      <c r="C312" s="3">
        <v>1</v>
      </c>
      <c r="D312" s="4">
        <f t="shared" si="4"/>
        <v>56.55</v>
      </c>
      <c r="E312" s="4">
        <v>56.55</v>
      </c>
    </row>
    <row r="313" spans="1:5" ht="54" x14ac:dyDescent="0.25">
      <c r="A313" s="1" t="s">
        <v>385</v>
      </c>
      <c r="B313" s="2" t="s">
        <v>386</v>
      </c>
      <c r="C313" s="3">
        <v>2</v>
      </c>
      <c r="D313" s="4">
        <f t="shared" si="4"/>
        <v>27.95</v>
      </c>
      <c r="E313" s="4">
        <v>55.9</v>
      </c>
    </row>
    <row r="314" spans="1:5" ht="54" x14ac:dyDescent="0.25">
      <c r="A314" s="1" t="s">
        <v>14</v>
      </c>
      <c r="B314" s="2" t="s">
        <v>387</v>
      </c>
      <c r="C314" s="3">
        <v>2</v>
      </c>
      <c r="D314" s="4">
        <f t="shared" si="4"/>
        <v>25.675000000000001</v>
      </c>
      <c r="E314" s="4">
        <v>51.35</v>
      </c>
    </row>
    <row r="315" spans="1:5" ht="54" x14ac:dyDescent="0.25">
      <c r="A315" s="1" t="s">
        <v>385</v>
      </c>
      <c r="B315" s="2" t="s">
        <v>388</v>
      </c>
      <c r="C315" s="3">
        <v>1</v>
      </c>
      <c r="D315" s="4">
        <f t="shared" si="4"/>
        <v>43.55</v>
      </c>
      <c r="E315" s="4">
        <v>43.55</v>
      </c>
    </row>
    <row r="316" spans="1:5" ht="81" x14ac:dyDescent="0.25">
      <c r="A316" s="1" t="s">
        <v>389</v>
      </c>
      <c r="B316" s="2" t="s">
        <v>390</v>
      </c>
      <c r="C316" s="3">
        <v>1</v>
      </c>
      <c r="D316" s="4">
        <f t="shared" si="4"/>
        <v>20.8</v>
      </c>
      <c r="E316" s="4">
        <v>20.8</v>
      </c>
    </row>
    <row r="317" spans="1:5" ht="54" x14ac:dyDescent="0.25">
      <c r="A317" s="1" t="s">
        <v>391</v>
      </c>
      <c r="B317" s="2" t="s">
        <v>392</v>
      </c>
      <c r="C317" s="3">
        <v>1</v>
      </c>
      <c r="D317" s="4">
        <f t="shared" si="4"/>
        <v>11.05</v>
      </c>
      <c r="E317" s="4">
        <v>11.05</v>
      </c>
    </row>
    <row r="318" spans="1:5" ht="67.5" x14ac:dyDescent="0.25">
      <c r="A318" s="1" t="s">
        <v>393</v>
      </c>
      <c r="B318" s="2" t="s">
        <v>394</v>
      </c>
      <c r="C318" s="3">
        <v>10</v>
      </c>
      <c r="D318" s="4">
        <f t="shared" si="4"/>
        <v>2190</v>
      </c>
      <c r="E318" s="4">
        <v>21900</v>
      </c>
    </row>
    <row r="319" spans="1:5" ht="67.5" x14ac:dyDescent="0.25">
      <c r="A319" s="1" t="s">
        <v>395</v>
      </c>
      <c r="B319" s="2" t="s">
        <v>396</v>
      </c>
      <c r="C319" s="3">
        <v>10</v>
      </c>
      <c r="D319" s="4">
        <f t="shared" si="4"/>
        <v>2190</v>
      </c>
      <c r="E319" s="4">
        <v>21900</v>
      </c>
    </row>
    <row r="320" spans="1:5" ht="67.5" x14ac:dyDescent="0.25">
      <c r="A320" s="1" t="s">
        <v>397</v>
      </c>
      <c r="B320" s="2" t="s">
        <v>398</v>
      </c>
      <c r="C320" s="3">
        <v>5</v>
      </c>
      <c r="D320" s="4">
        <f t="shared" si="4"/>
        <v>2980</v>
      </c>
      <c r="E320" s="4">
        <v>14900</v>
      </c>
    </row>
    <row r="321" spans="1:5" ht="94.5" x14ac:dyDescent="0.25">
      <c r="A321" s="1" t="s">
        <v>399</v>
      </c>
      <c r="B321" s="2" t="s">
        <v>400</v>
      </c>
      <c r="C321" s="3">
        <v>10</v>
      </c>
      <c r="D321" s="4">
        <f t="shared" si="4"/>
        <v>870</v>
      </c>
      <c r="E321" s="4">
        <v>8700</v>
      </c>
    </row>
    <row r="322" spans="1:5" ht="81" x14ac:dyDescent="0.25">
      <c r="A322" s="1" t="s">
        <v>37</v>
      </c>
      <c r="B322" s="2" t="s">
        <v>401</v>
      </c>
      <c r="C322" s="3">
        <v>15</v>
      </c>
      <c r="D322" s="4">
        <f t="shared" ref="D322:D351" si="5">IFERROR(E322/C322,0)</f>
        <v>450</v>
      </c>
      <c r="E322" s="4">
        <v>6750</v>
      </c>
    </row>
    <row r="323" spans="1:5" ht="54" x14ac:dyDescent="0.25">
      <c r="A323" s="1" t="s">
        <v>37</v>
      </c>
      <c r="B323" s="2" t="s">
        <v>402</v>
      </c>
      <c r="C323" s="3">
        <v>40</v>
      </c>
      <c r="D323" s="4">
        <f t="shared" si="5"/>
        <v>95</v>
      </c>
      <c r="E323" s="4">
        <v>3800</v>
      </c>
    </row>
    <row r="324" spans="1:5" ht="67.5" x14ac:dyDescent="0.25">
      <c r="A324" s="1" t="s">
        <v>375</v>
      </c>
      <c r="B324" s="2" t="s">
        <v>403</v>
      </c>
      <c r="C324" s="3">
        <v>20</v>
      </c>
      <c r="D324" s="4">
        <f t="shared" si="5"/>
        <v>170</v>
      </c>
      <c r="E324" s="4">
        <v>3400</v>
      </c>
    </row>
    <row r="325" spans="1:5" ht="67.5" x14ac:dyDescent="0.25">
      <c r="A325" s="1" t="s">
        <v>375</v>
      </c>
      <c r="B325" s="2" t="s">
        <v>404</v>
      </c>
      <c r="C325" s="3">
        <v>20</v>
      </c>
      <c r="D325" s="4">
        <f t="shared" si="5"/>
        <v>170</v>
      </c>
      <c r="E325" s="4">
        <v>3400</v>
      </c>
    </row>
    <row r="326" spans="1:5" ht="81" x14ac:dyDescent="0.25">
      <c r="A326" s="1" t="s">
        <v>375</v>
      </c>
      <c r="B326" s="2" t="s">
        <v>405</v>
      </c>
      <c r="C326" s="3">
        <v>20</v>
      </c>
      <c r="D326" s="4">
        <f t="shared" si="5"/>
        <v>170</v>
      </c>
      <c r="E326" s="4">
        <v>3400</v>
      </c>
    </row>
    <row r="327" spans="1:5" ht="81" x14ac:dyDescent="0.25">
      <c r="A327" s="1" t="s">
        <v>37</v>
      </c>
      <c r="B327" s="2" t="s">
        <v>406</v>
      </c>
      <c r="C327" s="3">
        <v>6</v>
      </c>
      <c r="D327" s="4">
        <f t="shared" si="5"/>
        <v>450</v>
      </c>
      <c r="E327" s="4">
        <v>2700</v>
      </c>
    </row>
    <row r="328" spans="1:5" ht="81" x14ac:dyDescent="0.25">
      <c r="A328" s="1" t="s">
        <v>407</v>
      </c>
      <c r="B328" s="2" t="s">
        <v>408</v>
      </c>
      <c r="C328" s="3">
        <v>10</v>
      </c>
      <c r="D328" s="4">
        <f t="shared" si="5"/>
        <v>140</v>
      </c>
      <c r="E328" s="4">
        <v>1400</v>
      </c>
    </row>
    <row r="329" spans="1:5" ht="81" x14ac:dyDescent="0.25">
      <c r="A329" s="1" t="s">
        <v>407</v>
      </c>
      <c r="B329" s="2" t="s">
        <v>409</v>
      </c>
      <c r="C329" s="3">
        <v>10</v>
      </c>
      <c r="D329" s="4">
        <f t="shared" si="5"/>
        <v>140</v>
      </c>
      <c r="E329" s="4">
        <v>1400</v>
      </c>
    </row>
    <row r="330" spans="1:5" ht="54" x14ac:dyDescent="0.25">
      <c r="A330" s="1" t="s">
        <v>37</v>
      </c>
      <c r="B330" s="2" t="s">
        <v>410</v>
      </c>
      <c r="C330" s="3">
        <v>20</v>
      </c>
      <c r="D330" s="4">
        <f t="shared" si="5"/>
        <v>53</v>
      </c>
      <c r="E330" s="4">
        <v>1060</v>
      </c>
    </row>
    <row r="331" spans="1:5" ht="54" x14ac:dyDescent="0.25">
      <c r="A331" s="1" t="s">
        <v>37</v>
      </c>
      <c r="B331" s="2" t="s">
        <v>411</v>
      </c>
      <c r="C331" s="3">
        <v>20</v>
      </c>
      <c r="D331" s="4">
        <f t="shared" si="5"/>
        <v>32</v>
      </c>
      <c r="E331" s="4">
        <v>640</v>
      </c>
    </row>
    <row r="332" spans="1:5" ht="54" x14ac:dyDescent="0.25">
      <c r="A332" s="1" t="s">
        <v>37</v>
      </c>
      <c r="B332" s="2" t="s">
        <v>412</v>
      </c>
      <c r="C332" s="3">
        <v>20</v>
      </c>
      <c r="D332" s="4">
        <f t="shared" si="5"/>
        <v>28</v>
      </c>
      <c r="E332" s="4">
        <v>560</v>
      </c>
    </row>
    <row r="333" spans="1:5" ht="40.5" x14ac:dyDescent="0.25">
      <c r="A333" s="1" t="s">
        <v>37</v>
      </c>
      <c r="B333" s="2" t="s">
        <v>413</v>
      </c>
      <c r="C333" s="3">
        <v>20</v>
      </c>
      <c r="D333" s="4">
        <f t="shared" si="5"/>
        <v>26</v>
      </c>
      <c r="E333" s="4">
        <v>520</v>
      </c>
    </row>
    <row r="334" spans="1:5" ht="54" x14ac:dyDescent="0.25">
      <c r="A334" s="1" t="s">
        <v>37</v>
      </c>
      <c r="B334" s="2" t="s">
        <v>414</v>
      </c>
      <c r="C334" s="3">
        <v>20</v>
      </c>
      <c r="D334" s="4">
        <f t="shared" si="5"/>
        <v>15</v>
      </c>
      <c r="E334" s="4">
        <v>300</v>
      </c>
    </row>
    <row r="335" spans="1:5" ht="67.5" x14ac:dyDescent="0.25">
      <c r="A335" s="1" t="s">
        <v>415</v>
      </c>
      <c r="B335" s="2" t="s">
        <v>416</v>
      </c>
      <c r="C335" s="3">
        <v>1050</v>
      </c>
      <c r="D335" s="4">
        <f t="shared" si="5"/>
        <v>172.92857142857142</v>
      </c>
      <c r="E335" s="4">
        <v>181575</v>
      </c>
    </row>
    <row r="336" spans="1:5" ht="81" x14ac:dyDescent="0.25">
      <c r="A336" s="1" t="s">
        <v>417</v>
      </c>
      <c r="B336" s="2" t="s">
        <v>418</v>
      </c>
      <c r="C336" s="3">
        <v>350</v>
      </c>
      <c r="D336" s="4">
        <f t="shared" si="5"/>
        <v>269.35000000000002</v>
      </c>
      <c r="E336" s="4">
        <v>94272.5</v>
      </c>
    </row>
    <row r="337" spans="1:5" ht="94.5" x14ac:dyDescent="0.25">
      <c r="A337" s="1" t="s">
        <v>419</v>
      </c>
      <c r="B337" s="2" t="s">
        <v>420</v>
      </c>
      <c r="C337" s="3">
        <v>850</v>
      </c>
      <c r="D337" s="4">
        <f t="shared" si="5"/>
        <v>83</v>
      </c>
      <c r="E337" s="4">
        <v>70550</v>
      </c>
    </row>
    <row r="338" spans="1:5" ht="108" x14ac:dyDescent="0.25">
      <c r="A338" s="1" t="s">
        <v>421</v>
      </c>
      <c r="B338" s="2" t="s">
        <v>422</v>
      </c>
      <c r="C338" s="3">
        <v>2</v>
      </c>
      <c r="D338" s="4">
        <f t="shared" si="5"/>
        <v>20594.37</v>
      </c>
      <c r="E338" s="4">
        <v>41188.74</v>
      </c>
    </row>
    <row r="339" spans="1:5" ht="81" x14ac:dyDescent="0.25">
      <c r="A339" s="1" t="s">
        <v>415</v>
      </c>
      <c r="B339" s="2" t="s">
        <v>423</v>
      </c>
      <c r="C339" s="3">
        <v>300</v>
      </c>
      <c r="D339" s="4">
        <f t="shared" si="5"/>
        <v>115.57833333333333</v>
      </c>
      <c r="E339" s="4">
        <v>34673.5</v>
      </c>
    </row>
    <row r="340" spans="1:5" ht="40.5" x14ac:dyDescent="0.25">
      <c r="A340" s="1" t="s">
        <v>424</v>
      </c>
      <c r="B340" s="2" t="s">
        <v>425</v>
      </c>
      <c r="C340" s="3">
        <v>2150</v>
      </c>
      <c r="D340" s="4">
        <f t="shared" si="5"/>
        <v>12</v>
      </c>
      <c r="E340" s="4">
        <v>25800</v>
      </c>
    </row>
    <row r="341" spans="1:5" ht="94.5" x14ac:dyDescent="0.25">
      <c r="A341" s="1" t="s">
        <v>426</v>
      </c>
      <c r="B341" s="2" t="s">
        <v>427</v>
      </c>
      <c r="C341" s="3">
        <v>125</v>
      </c>
      <c r="D341" s="4">
        <f t="shared" si="5"/>
        <v>178</v>
      </c>
      <c r="E341" s="4">
        <v>22250</v>
      </c>
    </row>
    <row r="342" spans="1:5" ht="135" x14ac:dyDescent="0.25">
      <c r="A342" s="1" t="s">
        <v>428</v>
      </c>
      <c r="B342" s="2" t="s">
        <v>429</v>
      </c>
      <c r="C342" s="3">
        <v>10</v>
      </c>
      <c r="D342" s="4">
        <f t="shared" si="5"/>
        <v>745.68500000000006</v>
      </c>
      <c r="E342" s="4">
        <v>7456.85</v>
      </c>
    </row>
    <row r="343" spans="1:5" ht="54" x14ac:dyDescent="0.25">
      <c r="A343" s="1" t="s">
        <v>430</v>
      </c>
      <c r="B343" s="2" t="s">
        <v>431</v>
      </c>
      <c r="C343" s="3">
        <v>100</v>
      </c>
      <c r="D343" s="4">
        <f t="shared" si="5"/>
        <v>66.5</v>
      </c>
      <c r="E343" s="4">
        <v>6650</v>
      </c>
    </row>
    <row r="344" spans="1:5" ht="40.5" x14ac:dyDescent="0.25">
      <c r="A344" s="1" t="s">
        <v>424</v>
      </c>
      <c r="B344" s="2" t="s">
        <v>432</v>
      </c>
      <c r="C344" s="3">
        <v>400</v>
      </c>
      <c r="D344" s="4">
        <f t="shared" si="5"/>
        <v>12</v>
      </c>
      <c r="E344" s="4">
        <v>4800</v>
      </c>
    </row>
    <row r="345" spans="1:5" ht="81" x14ac:dyDescent="0.25">
      <c r="A345" s="1" t="s">
        <v>433</v>
      </c>
      <c r="B345" s="2" t="s">
        <v>434</v>
      </c>
      <c r="C345" s="3">
        <v>80</v>
      </c>
      <c r="D345" s="4">
        <f t="shared" si="5"/>
        <v>57.75</v>
      </c>
      <c r="E345" s="4">
        <v>4620</v>
      </c>
    </row>
    <row r="346" spans="1:5" ht="54" x14ac:dyDescent="0.25">
      <c r="A346" s="1" t="s">
        <v>435</v>
      </c>
      <c r="B346" s="2" t="s">
        <v>436</v>
      </c>
      <c r="C346" s="3">
        <v>700</v>
      </c>
      <c r="D346" s="4">
        <f t="shared" si="5"/>
        <v>6.2792857142857139</v>
      </c>
      <c r="E346" s="4">
        <v>4395.5</v>
      </c>
    </row>
    <row r="347" spans="1:5" ht="54" x14ac:dyDescent="0.25">
      <c r="A347" s="1" t="s">
        <v>437</v>
      </c>
      <c r="B347" s="2" t="s">
        <v>438</v>
      </c>
      <c r="C347" s="3">
        <v>300</v>
      </c>
      <c r="D347" s="4">
        <f t="shared" si="5"/>
        <v>12</v>
      </c>
      <c r="E347" s="4">
        <v>3600</v>
      </c>
    </row>
    <row r="348" spans="1:5" ht="94.5" x14ac:dyDescent="0.25">
      <c r="A348" s="1" t="s">
        <v>433</v>
      </c>
      <c r="B348" s="2" t="s">
        <v>439</v>
      </c>
      <c r="C348" s="3">
        <v>60</v>
      </c>
      <c r="D348" s="4">
        <f t="shared" si="5"/>
        <v>57.666666666666664</v>
      </c>
      <c r="E348" s="4">
        <v>3460</v>
      </c>
    </row>
    <row r="349" spans="1:5" ht="108" x14ac:dyDescent="0.25">
      <c r="A349" s="1" t="s">
        <v>440</v>
      </c>
      <c r="B349" s="2" t="s">
        <v>441</v>
      </c>
      <c r="C349" s="3">
        <v>30</v>
      </c>
      <c r="D349" s="4">
        <f t="shared" si="5"/>
        <v>82</v>
      </c>
      <c r="E349" s="4">
        <v>2460</v>
      </c>
    </row>
    <row r="350" spans="1:5" ht="67.5" x14ac:dyDescent="0.25">
      <c r="A350" s="1" t="s">
        <v>440</v>
      </c>
      <c r="B350" s="2" t="s">
        <v>442</v>
      </c>
      <c r="C350" s="3">
        <v>120</v>
      </c>
      <c r="D350" s="4">
        <f t="shared" si="5"/>
        <v>14.3</v>
      </c>
      <c r="E350" s="4">
        <v>1716</v>
      </c>
    </row>
    <row r="351" spans="1:5" ht="54" x14ac:dyDescent="0.25">
      <c r="A351" s="1" t="s">
        <v>424</v>
      </c>
      <c r="B351" s="2" t="s">
        <v>443</v>
      </c>
      <c r="C351" s="3">
        <v>60</v>
      </c>
      <c r="D351" s="4">
        <f t="shared" si="5"/>
        <v>12</v>
      </c>
      <c r="E351" s="4">
        <v>720</v>
      </c>
    </row>
  </sheetData>
  <conditionalFormatting sqref="E2:E351">
    <cfRule type="dataBar" priority="7">
      <dataBar>
        <cfvo type="min"/>
        <cfvo type="max"/>
        <color rgb="FF5B9BD5"/>
      </dataBar>
    </cfRule>
    <cfRule type="dataBar" priority="8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{4508F12F-3FE4-4904-8B37-09D80BE6A96A}</x14:id>
        </ext>
      </extLst>
    </cfRule>
  </conditionalFormatting>
  <conditionalFormatting sqref="E270:E317">
    <cfRule type="dataBar" priority="5">
      <dataBar>
        <cfvo type="min"/>
        <cfvo type="max"/>
        <color rgb="FF5B9BD5"/>
      </dataBar>
    </cfRule>
    <cfRule type="dataBar" priority="6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{0FB1FA4D-B663-4F5F-9100-FF0FED0B5875}</x14:id>
        </ext>
      </extLst>
    </cfRule>
  </conditionalFormatting>
  <conditionalFormatting sqref="E318:E334">
    <cfRule type="dataBar" priority="3">
      <dataBar>
        <cfvo type="min"/>
        <cfvo type="max"/>
        <color rgb="FF5B9BD5"/>
      </dataBar>
    </cfRule>
    <cfRule type="dataBar" priority="4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{ED00F705-66E7-4302-9148-FBE46ACB6EC3}</x14:id>
        </ext>
      </extLst>
    </cfRule>
  </conditionalFormatting>
  <conditionalFormatting sqref="E335:E351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{9C908B26-2A57-41CB-A889-F5594339CC65}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08F12F-3FE4-4904-8B37-09D80BE6A96A}">
            <x14:dataBar>
              <x14:cfvo type="min"/>
              <x14:cfvo type="max"/>
              <x14:negativeFillColor auto="1"/>
              <x14:axisColor auto="1"/>
            </x14:dataBar>
          </x14:cfRule>
          <xm:sqref>E2:E351</xm:sqref>
        </x14:conditionalFormatting>
        <x14:conditionalFormatting xmlns:xm="http://schemas.microsoft.com/office/excel/2006/main">
          <x14:cfRule type="dataBar" id="{0FB1FA4D-B663-4F5F-9100-FF0FED0B5875}">
            <x14:dataBar>
              <x14:cfvo type="min"/>
              <x14:cfvo type="max"/>
              <x14:negativeFillColor auto="1"/>
              <x14:axisColor auto="1"/>
            </x14:dataBar>
          </x14:cfRule>
          <xm:sqref>E270:E317</xm:sqref>
        </x14:conditionalFormatting>
        <x14:conditionalFormatting xmlns:xm="http://schemas.microsoft.com/office/excel/2006/main">
          <x14:cfRule type="dataBar" id="{ED00F705-66E7-4302-9148-FBE46ACB6EC3}">
            <x14:dataBar>
              <x14:cfvo type="min"/>
              <x14:cfvo type="max"/>
              <x14:negativeFillColor auto="1"/>
              <x14:axisColor auto="1"/>
            </x14:dataBar>
          </x14:cfRule>
          <xm:sqref>E318:E334</xm:sqref>
        </x14:conditionalFormatting>
        <x14:conditionalFormatting xmlns:xm="http://schemas.microsoft.com/office/excel/2006/main">
          <x14:cfRule type="dataBar" id="{9C908B26-2A57-41CB-A889-F5594339CC65}">
            <x14:dataBar>
              <x14:cfvo type="min"/>
              <x14:cfvo type="max"/>
              <x14:negativeFillColor auto="1"/>
              <x14:axisColor auto="1"/>
            </x14:dataBar>
          </x14:cfRule>
          <xm:sqref>E335:E351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 imhotep</dc:creator>
  <cp:lastModifiedBy>compras imhotep</cp:lastModifiedBy>
  <dcterms:created xsi:type="dcterms:W3CDTF">2026-10-02T18:51:32Z</dcterms:created>
  <dcterms:modified xsi:type="dcterms:W3CDTF">2026-10-02T18:57:21Z</dcterms:modified>
</cp:coreProperties>
</file>